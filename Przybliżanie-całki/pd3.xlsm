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510" codeName="{00000000-0000-0000-0000-00000000000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wutwaw.sharepoint.com/sites/76CB783B-DAC5-4C99-97F0-D890DD131D2E.teams/Student Work/Submitted files/Mieczkowski Jakub (STUD)/Excel - Praca domowa 3/Wersja 2/"/>
    </mc:Choice>
  </mc:AlternateContent>
  <xr:revisionPtr revIDLastSave="592" documentId="8_{067E86E1-4D11-4B44-A379-41B376EAB653}" xr6:coauthVersionLast="47" xr6:coauthVersionMax="47" xr10:uidLastSave="{82583A28-6B07-4DDB-8CAF-6E9A4A75B074}"/>
  <bookViews>
    <workbookView xWindow="-120" yWindow="-120" windowWidth="29040" windowHeight="15840" firstSheet="2" activeTab="2" xr2:uid="{AE8306EE-BD88-4BA6-A6C4-47B8A77B5C56}"/>
  </bookViews>
  <sheets>
    <sheet name="xcos(x)" sheetId="2" r:id="rId1"/>
    <sheet name="xln(x)" sheetId="3" r:id="rId2"/>
    <sheet name="(x^2-1)exp(-0,5x)" sheetId="4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9" i="2" l="1"/>
  <c r="F14" i="4"/>
  <c r="F13" i="4"/>
  <c r="F12" i="4"/>
  <c r="F11" i="4"/>
  <c r="F10" i="4"/>
  <c r="F9" i="4"/>
  <c r="F8" i="4"/>
  <c r="F7" i="4"/>
  <c r="F6" i="4"/>
  <c r="F5" i="4"/>
  <c r="F4" i="4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4" i="3"/>
  <c r="F5" i="2"/>
  <c r="F6" i="2"/>
  <c r="F7" i="2"/>
  <c r="F4" i="2"/>
  <c r="F8" i="2"/>
  <c r="F9" i="2"/>
  <c r="F10" i="2"/>
  <c r="F11" i="2"/>
  <c r="F12" i="2"/>
  <c r="F13" i="2"/>
  <c r="F14" i="2"/>
  <c r="F15" i="2"/>
  <c r="F16" i="2"/>
  <c r="F17" i="2"/>
  <c r="F18" i="2"/>
  <c r="E19" i="2" a="1"/>
  <c r="G2" i="4" a="1"/>
  <c r="G2" i="3" a="1"/>
  <c r="E4" i="4" a="1"/>
  <c r="E8" i="4" a="1"/>
  <c r="E12" i="4" a="1"/>
  <c r="E5" i="4" a="1"/>
  <c r="E9" i="4" a="1"/>
  <c r="E13" i="4" a="1"/>
  <c r="E6" i="4" a="1"/>
  <c r="E10" i="4" a="1"/>
  <c r="E14" i="4" a="1"/>
  <c r="E7" i="4" a="1"/>
  <c r="E11" i="4" a="1"/>
  <c r="E5" i="3" a="1"/>
  <c r="E9" i="3" a="1"/>
  <c r="E13" i="3" a="1"/>
  <c r="E17" i="3" a="1"/>
  <c r="E6" i="3" a="1"/>
  <c r="E10" i="3" a="1"/>
  <c r="E14" i="3" a="1"/>
  <c r="E18" i="3" a="1"/>
  <c r="E7" i="3" a="1"/>
  <c r="E15" i="3" a="1"/>
  <c r="E8" i="3" a="1"/>
  <c r="E12" i="3" a="1"/>
  <c r="E16" i="3" a="1"/>
  <c r="E11" i="3" a="1"/>
  <c r="E4" i="3" a="1"/>
  <c r="E8" i="2" a="1"/>
  <c r="E12" i="2" a="1"/>
  <c r="E16" i="2" a="1"/>
  <c r="E13" i="2" a="1"/>
  <c r="E17" i="2" a="1"/>
  <c r="E14" i="2" a="1"/>
  <c r="E18" i="2" a="1"/>
  <c r="E15" i="2" a="1"/>
  <c r="E9" i="2" a="1"/>
  <c r="E11" i="2" a="1"/>
  <c r="E10" i="2" a="1"/>
  <c r="E7" i="2" a="1"/>
  <c r="E6" i="2" a="1"/>
  <c r="E5" i="2" a="1"/>
  <c r="E4" i="2" a="1"/>
  <c r="G2" i="2" a="1"/>
  <c r="E19" i="2" l="1"/>
  <c r="G2" i="4"/>
  <c r="G2" i="3"/>
  <c r="E11" i="4"/>
  <c r="E7" i="4"/>
  <c r="E14" i="4"/>
  <c r="G14" i="4" s="1"/>
  <c r="E10" i="4"/>
  <c r="E6" i="4"/>
  <c r="E13" i="4"/>
  <c r="E9" i="4"/>
  <c r="E5" i="4"/>
  <c r="E12" i="4"/>
  <c r="E8" i="4"/>
  <c r="E4" i="4"/>
  <c r="E11" i="3"/>
  <c r="E16" i="3"/>
  <c r="E12" i="3"/>
  <c r="E8" i="3"/>
  <c r="E15" i="3"/>
  <c r="E7" i="3"/>
  <c r="E18" i="3"/>
  <c r="E14" i="3"/>
  <c r="E10" i="3"/>
  <c r="E6" i="3"/>
  <c r="E17" i="3"/>
  <c r="E13" i="3"/>
  <c r="E9" i="3"/>
  <c r="E5" i="3"/>
  <c r="E4" i="3"/>
  <c r="E10" i="2"/>
  <c r="G10" i="2" s="1"/>
  <c r="E11" i="2"/>
  <c r="G11" i="2" s="1"/>
  <c r="E9" i="2"/>
  <c r="G9" i="2" s="1"/>
  <c r="E15" i="2"/>
  <c r="E18" i="2"/>
  <c r="E14" i="2"/>
  <c r="G14" i="2" s="1"/>
  <c r="E17" i="2"/>
  <c r="E13" i="2"/>
  <c r="G13" i="2" s="1"/>
  <c r="E16" i="2"/>
  <c r="E12" i="2"/>
  <c r="G12" i="2" s="1"/>
  <c r="E8" i="2"/>
  <c r="G8" i="2" s="1"/>
  <c r="E5" i="2"/>
  <c r="E6" i="2"/>
  <c r="E7" i="2"/>
  <c r="E4" i="2"/>
  <c r="G2" i="2"/>
  <c r="G17" i="2" s="1"/>
  <c r="G15" i="2"/>
  <c r="G16" i="2"/>
  <c r="G18" i="2"/>
  <c r="G4" i="2" l="1"/>
  <c r="G6" i="2"/>
  <c r="G7" i="2"/>
  <c r="G5" i="2"/>
  <c r="G19" i="2"/>
  <c r="G18" i="3"/>
  <c r="G7" i="3"/>
  <c r="G9" i="3"/>
  <c r="G15" i="3"/>
  <c r="G13" i="3"/>
  <c r="G8" i="3"/>
  <c r="G17" i="3"/>
  <c r="G12" i="3"/>
  <c r="G14" i="3"/>
  <c r="G4" i="3"/>
  <c r="G5" i="3"/>
  <c r="G6" i="3"/>
  <c r="G16" i="3"/>
  <c r="G10" i="3"/>
  <c r="G11" i="3"/>
  <c r="G13" i="4"/>
  <c r="G12" i="4"/>
  <c r="G11" i="4"/>
  <c r="G10" i="4"/>
  <c r="G9" i="4"/>
  <c r="G7" i="4"/>
  <c r="G5" i="4"/>
  <c r="G4" i="4"/>
  <c r="G8" i="4"/>
  <c r="G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<sst xmlns="http://schemas.openxmlformats.org/spreadsheetml/2006/main" count="21" uniqueCount="7">
  <si>
    <t>a</t>
  </si>
  <si>
    <t>wartość dokładna</t>
  </si>
  <si>
    <t>b</t>
  </si>
  <si>
    <t>N</t>
  </si>
  <si>
    <t>przybliżenie</t>
  </si>
  <si>
    <t>długość h-kroku</t>
  </si>
  <si>
    <t>Błąd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</si>
</sst>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Błąd od h-kroku całkowania cos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'xcos(x)'!$G$3</c:f>
              <c:strCache>
                <c:ptCount val="1"/>
                <c:pt idx="0">
                  <c:v>Błąd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'xcos(x)'!$F$4:$F$19</c:f>
              <c:numCache>
                <c:formatCode>General</c:formatCode>
                <c:ptCount val="16"/>
                <c:pt idx="0">
                  <c:v>2</c:v>
                </c:pt>
                <c:pt idx="1">
                  <c:v>1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0.2</c:v>
                </c:pt>
                <c:pt idx="6">
                  <c:v>0.08</c:v>
                </c:pt>
                <c:pt idx="7">
                  <c:v>0.04</c:v>
                </c:pt>
                <c:pt idx="8">
                  <c:v>0.02</c:v>
                </c:pt>
                <c:pt idx="9">
                  <c:v>0.01</c:v>
                </c:pt>
                <c:pt idx="10">
                  <c:v>4.0000000000000001E-3</c:v>
                </c:pt>
                <c:pt idx="11">
                  <c:v>2E-3</c:v>
                </c:pt>
                <c:pt idx="12">
                  <c:v>1E-3</c:v>
                </c:pt>
                <c:pt idx="13">
                  <c:v>4.0000000000000002E-4</c:v>
                </c:pt>
                <c:pt idx="14">
                  <c:v>2.0000000000000001E-4</c:v>
                </c:pt>
                <c:pt idx="15">
                  <c:v>2.0000000000000002E-5</c:v>
                </c:pt>
              </c:numCache>
            </c:numRef>
          </c:xVal>
          <c:yVal>
            <c:numRef>
              <c:f>'xcos(x)'!$G$4:$G$19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1.119167692548162E-16</c:v>
                </c:pt>
                <c:pt idx="3">
                  <c:v>0</c:v>
                </c:pt>
                <c:pt idx="4">
                  <c:v>4.0129032909119733E-17</c:v>
                </c:pt>
                <c:pt idx="5">
                  <c:v>5.6168448798327164E-17</c:v>
                </c:pt>
                <c:pt idx="6">
                  <c:v>3.4223519200862751E-17</c:v>
                </c:pt>
                <c:pt idx="7">
                  <c:v>1.565316886525947E-18</c:v>
                </c:pt>
                <c:pt idx="8">
                  <c:v>6.1982482948280682E-17</c:v>
                </c:pt>
                <c:pt idx="9">
                  <c:v>5.8017945238656929E-17</c:v>
                </c:pt>
                <c:pt idx="10">
                  <c:v>3.5804717955149716E-17</c:v>
                </c:pt>
                <c:pt idx="11">
                  <c:v>2.7223003650042772E-17</c:v>
                </c:pt>
                <c:pt idx="12">
                  <c:v>2.9237936212883142E-17</c:v>
                </c:pt>
                <c:pt idx="13">
                  <c:v>7.2068554237490865E-17</c:v>
                </c:pt>
                <c:pt idx="14">
                  <c:v>3.0119313699170645E-17</c:v>
                </c:pt>
                <c:pt idx="15">
                  <c:v>6.9846436092263112E-17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7A-4230-BB60-2B8236A5E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3307744"/>
        <c:axId val="783308160"/>
      </c:scatterChart>
      <c:valAx>
        <c:axId val="783307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Dlugość</a:t>
                </a:r>
                <a:r>
                  <a:rPr lang="pl-PL" baseline="0"/>
                  <a:t> h-kroku</a:t>
                </a:r>
                <a:endParaRPr lang="pl-P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308160"/>
        <c:crosses val="autoZero"/>
        <c:crossBetween val="midCat"/>
      </c:valAx>
      <c:valAx>
        <c:axId val="78330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Błąd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307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cap="none" baseline="0">
                <a:solidFill>
                  <a:sysClr val="window" lastClr="FFFFFF">
                    <a:lumMod val="8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l-PL" sz="1800" b="1" i="0" baseline="0">
                <a:effectLst/>
              </a:rPr>
              <a:t>Błąd od h-kroku całkowania ln</a:t>
            </a:r>
            <a:endParaRPr lang="pl-PL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1" i="0" u="none" strike="noStrike" kern="1200" cap="none" baseline="0">
              <a:solidFill>
                <a:sysClr val="window" lastClr="FFFFFF">
                  <a:lumMod val="8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'xln(x)'!$G$3</c:f>
              <c:strCache>
                <c:ptCount val="1"/>
                <c:pt idx="0">
                  <c:v>Błąd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'xln(x)'!$F$4:$F$18</c:f>
              <c:numCache>
                <c:formatCode>General</c:formatCode>
                <c:ptCount val="15"/>
                <c:pt idx="0">
                  <c:v>1</c:v>
                </c:pt>
                <c:pt idx="1">
                  <c:v>0.5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</c:v>
                </c:pt>
                <c:pt idx="5">
                  <c:v>0.1</c:v>
                </c:pt>
                <c:pt idx="6">
                  <c:v>0.04</c:v>
                </c:pt>
                <c:pt idx="7">
                  <c:v>0.02</c:v>
                </c:pt>
                <c:pt idx="8">
                  <c:v>0.01</c:v>
                </c:pt>
                <c:pt idx="9">
                  <c:v>5.0000000000000001E-3</c:v>
                </c:pt>
                <c:pt idx="10">
                  <c:v>2E-3</c:v>
                </c:pt>
                <c:pt idx="11">
                  <c:v>1E-3</c:v>
                </c:pt>
                <c:pt idx="12">
                  <c:v>5.0000000000000001E-4</c:v>
                </c:pt>
                <c:pt idx="13">
                  <c:v>2.0000000000000001E-4</c:v>
                </c:pt>
                <c:pt idx="14">
                  <c:v>1E-4</c:v>
                </c:pt>
              </c:numCache>
            </c:numRef>
          </c:xVal>
          <c:yVal>
            <c:numRef>
              <c:f>'xln(x)'!$G$4:$G$18</c:f>
              <c:numCache>
                <c:formatCode>General</c:formatCode>
                <c:ptCount val="15"/>
                <c:pt idx="0">
                  <c:v>9.6573590279972643E-2</c:v>
                </c:pt>
                <c:pt idx="1">
                  <c:v>3.1167572309404146E-2</c:v>
                </c:pt>
                <c:pt idx="2">
                  <c:v>1.5711599715425739E-2</c:v>
                </c:pt>
                <c:pt idx="3">
                  <c:v>9.5833498536047057E-3</c:v>
                </c:pt>
                <c:pt idx="4">
                  <c:v>6.5041731452628593E-3</c:v>
                </c:pt>
                <c:pt idx="5">
                  <c:v>1.9144928518892712E-3</c:v>
                </c:pt>
                <c:pt idx="6">
                  <c:v>3.6738860157198294E-4</c:v>
                </c:pt>
                <c:pt idx="7">
                  <c:v>1.0339902025335856E-4</c:v>
                </c:pt>
                <c:pt idx="8">
                  <c:v>2.8737831860192742E-5</c:v>
                </c:pt>
                <c:pt idx="9">
                  <c:v>7.9064839996201286E-6</c:v>
                </c:pt>
                <c:pt idx="10">
                  <c:v>1.4177524598757429E-6</c:v>
                </c:pt>
                <c:pt idx="11">
                  <c:v>3.8331924390178074E-7</c:v>
                </c:pt>
                <c:pt idx="12">
                  <c:v>1.0305009351396777E-7</c:v>
                </c:pt>
                <c:pt idx="13">
                  <c:v>1.8015166136642335E-8</c:v>
                </c:pt>
                <c:pt idx="14">
                  <c:v>4.7926030921630058E-9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FF-42CD-9A23-BEEF6814D7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4345056"/>
        <c:axId val="734349216"/>
      </c:scatterChart>
      <c:valAx>
        <c:axId val="73434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długość</a:t>
                </a:r>
                <a:r>
                  <a:rPr lang="pl-PL" baseline="0"/>
                  <a:t> h-kroku</a:t>
                </a:r>
                <a:endParaRPr lang="pl-P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49216"/>
        <c:crosses val="autoZero"/>
        <c:crossBetween val="midCat"/>
      </c:valAx>
      <c:valAx>
        <c:axId val="73434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Błąd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4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Błąd</a:t>
            </a:r>
            <a:r>
              <a:rPr lang="pl-PL" baseline="0"/>
              <a:t> od h-kroku całkowania 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'(x^2-1)exp(-0,5x)'!$G$3</c:f>
              <c:strCache>
                <c:ptCount val="1"/>
                <c:pt idx="0">
                  <c:v>Błąd</c:v>
                </c:pt>
              </c:strCache>
            </c:strRef>
          </c:tx>
          <c:spPr>
            <a:ln w="22225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9525" cap="rnd">
                <a:solidFill>
                  <a:srgbClr val="FF0000">
                    <a:alpha val="50000"/>
                  </a:srgbClr>
                </a:solidFill>
              </a:ln>
              <a:effectLst/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'(x^2-1)exp(-0,5x)'!$F$4:$F$14</c:f>
              <c:numCache>
                <c:formatCode>General</c:formatCode>
                <c:ptCount val="11"/>
                <c:pt idx="0">
                  <c:v>0.8</c:v>
                </c:pt>
                <c:pt idx="1">
                  <c:v>0.4</c:v>
                </c:pt>
                <c:pt idx="2">
                  <c:v>0.16</c:v>
                </c:pt>
                <c:pt idx="3">
                  <c:v>0.08</c:v>
                </c:pt>
                <c:pt idx="4">
                  <c:v>0.04</c:v>
                </c:pt>
                <c:pt idx="5">
                  <c:v>0.02</c:v>
                </c:pt>
                <c:pt idx="6">
                  <c:v>8.0000000000000002E-3</c:v>
                </c:pt>
                <c:pt idx="7">
                  <c:v>4.0000000000000001E-3</c:v>
                </c:pt>
                <c:pt idx="8">
                  <c:v>2E-3</c:v>
                </c:pt>
                <c:pt idx="9">
                  <c:v>8.0000000000000004E-4</c:v>
                </c:pt>
                <c:pt idx="10">
                  <c:v>4.0000000000000002E-4</c:v>
                </c:pt>
              </c:numCache>
            </c:numRef>
          </c:xVal>
          <c:yVal>
            <c:numRef>
              <c:f>'(x^2-1)exp(-0,5x)'!$G$4:$G$14</c:f>
              <c:numCache>
                <c:formatCode>General</c:formatCode>
                <c:ptCount val="11"/>
                <c:pt idx="0">
                  <c:v>0.41473226644151895</c:v>
                </c:pt>
                <c:pt idx="1">
                  <c:v>0.10526812749152636</c:v>
                </c:pt>
                <c:pt idx="2">
                  <c:v>1.6914578835510063E-2</c:v>
                </c:pt>
                <c:pt idx="3">
                  <c:v>4.2312106584216913E-3</c:v>
                </c:pt>
                <c:pt idx="4">
                  <c:v>1.0579630952038954E-3</c:v>
                </c:pt>
                <c:pt idx="5">
                  <c:v>2.6450080163353817E-4</c:v>
                </c:pt>
                <c:pt idx="6">
                  <c:v>4.2320577516630209E-5</c:v>
                </c:pt>
                <c:pt idx="7">
                  <c:v>1.0580160425988083E-5</c:v>
                </c:pt>
                <c:pt idx="8">
                  <c:v>2.6450411025891185E-6</c:v>
                </c:pt>
                <c:pt idx="9">
                  <c:v>4.2320661597372577E-7</c:v>
                </c:pt>
                <c:pt idx="10">
                  <c:v>1.0580164699902639E-7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14-472A-90F6-AEE79B7B3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164287"/>
        <c:axId val="779165535"/>
      </c:scatterChart>
      <c:valAx>
        <c:axId val="779164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długość</a:t>
                </a:r>
                <a:r>
                  <a:rPr lang="pl-PL" baseline="0"/>
                  <a:t> h-kroku</a:t>
                </a:r>
                <a:endParaRPr lang="pl-P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65535"/>
        <c:crosses val="autoZero"/>
        <c:crossBetween val="midCat"/>
      </c:valAx>
      <c:valAx>
        <c:axId val="779165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Błąd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64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344237</xdr:colOff>
      <xdr:row>2</xdr:row>
      <xdr:rowOff>165768</xdr:rowOff>
    </xdr:from>
    <xdr:to>
      <xdr:col>17</xdr:col>
      <xdr:colOff>191265</xdr:colOff>
      <xdr:row>19</xdr:row>
      <xdr:rowOff>99457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BB0FD5F0-6A19-43F9-9363-8515A306F9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104775</xdr:colOff>
      <xdr:row>3</xdr:row>
      <xdr:rowOff>85725</xdr:rowOff>
    </xdr:from>
    <xdr:to>
      <xdr:col>16</xdr:col>
      <xdr:colOff>409575</xdr:colOff>
      <xdr:row>18</xdr:row>
      <xdr:rowOff>66675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83E02A8D-A240-4A74-BF79-A81766C92B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428625</xdr:colOff>
      <xdr:row>3</xdr:row>
      <xdr:rowOff>92075</xdr:rowOff>
    </xdr:from>
    <xdr:to>
      <xdr:col>16</xdr:col>
      <xdr:colOff>123825</xdr:colOff>
      <xdr:row>18</xdr:row>
      <xdr:rowOff>73025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9358DCEA-2873-4DF4-AE50-6328BA9A8A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E679A-D2BF-4317-A0C5-2E9DD09E3A60}">
  <sheetPr codeName="Arkusz2"/>
  <dimension ref="A1:G19"/>
  <sheetViews>
    <sheetView topLeftCell="B1" zoomScale="83" workbookViewId="0">
      <selection activeCell="I15" sqref="I15"/>
    </sheetView>
  </sheetViews>
  <sheetFormatPr defaultRowHeight="15"/>
  <cols>
    <col min="4" max="4" width="12.28515625" bestFit="1" customWidth="1"/>
    <col min="5" max="5" width="12.140625" customWidth="1"/>
    <col min="6" max="6" width="14.85546875" customWidth="1"/>
    <col min="7" max="7" width="15.28515625" customWidth="1"/>
  </cols>
  <sheetData>
    <row r="1" spans="1:7">
      <c r="A1" t="s">
        <v>0</v>
      </c>
      <c r="B1">
        <v>-1</v>
      </c>
      <c r="G1" t="s">
        <v>1</v>
      </c>
    </row>
    <row r="2" spans="1:7">
      <c r="A2" t="s">
        <v>2</v>
      </c>
      <c r="B2">
        <v>1</v>
      </c>
      <c r="G2" cm="1">
        <f t="array" ref="G2">cos_dokl(B2,B1)</f>
        <v>0</v>
      </c>
    </row>
    <row r="3" spans="1:7">
      <c r="D3" t="s">
        <v>3</v>
      </c>
      <c r="E3" t="s">
        <v>4</v>
      </c>
      <c r="F3" t="s">
        <v>5</v>
      </c>
      <c r="G3" t="s">
        <v>6</v>
      </c>
    </row>
    <row r="4" spans="1:7">
      <c r="D4">
        <v>1</v>
      </c>
      <c r="E4" cm="1">
        <f t="array" ref="E4">calka_cos(B$1,B$2,D4)</f>
        <v>0</v>
      </c>
      <c r="F4">
        <f>(B$2-B$1)/D4</f>
        <v>2</v>
      </c>
      <c r="G4">
        <f>ABS(E4-G$2)</f>
        <v>0</v>
      </c>
    </row>
    <row r="5" spans="1:7">
      <c r="D5">
        <v>2</v>
      </c>
      <c r="E5" cm="1">
        <f t="array" ref="E5">calka_cos(B$1,B$2,D5)</f>
        <v>0</v>
      </c>
      <c r="F5">
        <f t="shared" ref="F5:F7" si="0">(B$2-B$1)/D5</f>
        <v>1</v>
      </c>
      <c r="G5">
        <f t="shared" ref="G5:G7" si="1">ABS(E5-G$2)</f>
        <v>0</v>
      </c>
    </row>
    <row r="6" spans="1:7">
      <c r="D6">
        <v>3</v>
      </c>
      <c r="E6" cm="1">
        <f t="array" ref="E6">calka_cos(B$1,B$2,D6)</f>
        <v>-1.119167692548162E-16</v>
      </c>
      <c r="F6">
        <f t="shared" si="0"/>
        <v>0.66666666666666663</v>
      </c>
      <c r="G6">
        <f t="shared" si="1"/>
        <v>1.119167692548162E-16</v>
      </c>
    </row>
    <row r="7" spans="1:7">
      <c r="D7">
        <v>4</v>
      </c>
      <c r="E7" cm="1">
        <f t="array" ref="E7">calka_cos(B$1,B$2,D7)</f>
        <v>0</v>
      </c>
      <c r="F7">
        <f t="shared" si="0"/>
        <v>0.5</v>
      </c>
      <c r="G7">
        <f t="shared" si="1"/>
        <v>0</v>
      </c>
    </row>
    <row r="8" spans="1:7">
      <c r="D8">
        <v>5</v>
      </c>
      <c r="E8" cm="1">
        <f t="array" ref="E8">calka_cos(B$1,B$2,D8)</f>
        <v>4.0129032909119733E-17</v>
      </c>
      <c r="F8">
        <f t="shared" ref="F8:F19" si="2">(B$2-B$1)/D8</f>
        <v>0.4</v>
      </c>
      <c r="G8">
        <f t="shared" ref="G8:G19" si="3">ABS(E8-G$2)</f>
        <v>4.0129032909119733E-17</v>
      </c>
    </row>
    <row r="9" spans="1:7">
      <c r="D9">
        <v>10</v>
      </c>
      <c r="E9" cm="1">
        <f t="array" ref="E9">calka_cos(B$1,B$2,D9)</f>
        <v>5.6168448798327164E-17</v>
      </c>
      <c r="F9">
        <f t="shared" si="2"/>
        <v>0.2</v>
      </c>
      <c r="G9">
        <f t="shared" si="3"/>
        <v>5.6168448798327164E-17</v>
      </c>
    </row>
    <row r="10" spans="1:7">
      <c r="D10">
        <v>25</v>
      </c>
      <c r="E10" cm="1">
        <f t="array" ref="E10">calka_cos(B$1,B$2,D10)</f>
        <v>3.4223519200862751E-17</v>
      </c>
      <c r="F10">
        <f t="shared" si="2"/>
        <v>0.08</v>
      </c>
      <c r="G10">
        <f t="shared" si="3"/>
        <v>3.4223519200862751E-17</v>
      </c>
    </row>
    <row r="11" spans="1:7">
      <c r="D11">
        <v>50</v>
      </c>
      <c r="E11" cm="1">
        <f t="array" ref="E11">calka_cos(B$1,B$2,D11)</f>
        <v>1.565316886525947E-18</v>
      </c>
      <c r="F11">
        <f t="shared" si="2"/>
        <v>0.04</v>
      </c>
      <c r="G11">
        <f t="shared" si="3"/>
        <v>1.565316886525947E-18</v>
      </c>
    </row>
    <row r="12" spans="1:7">
      <c r="D12">
        <v>100</v>
      </c>
      <c r="E12" cm="1">
        <f t="array" ref="E12">calka_cos(B$1,B$2,D12)</f>
        <v>6.1982482948280682E-17</v>
      </c>
      <c r="F12">
        <f t="shared" si="2"/>
        <v>0.02</v>
      </c>
      <c r="G12">
        <f t="shared" si="3"/>
        <v>6.1982482948280682E-17</v>
      </c>
    </row>
    <row r="13" spans="1:7">
      <c r="D13">
        <v>200</v>
      </c>
      <c r="E13" cm="1">
        <f t="array" ref="E13">calka_cos(B$1,B$2,D13)</f>
        <v>5.8017945238656929E-17</v>
      </c>
      <c r="F13">
        <f t="shared" si="2"/>
        <v>0.01</v>
      </c>
      <c r="G13">
        <f t="shared" si="3"/>
        <v>5.8017945238656929E-17</v>
      </c>
    </row>
    <row r="14" spans="1:7">
      <c r="D14">
        <v>500</v>
      </c>
      <c r="E14" cm="1">
        <f t="array" ref="E14">calka_cos(B$1,B$2,D14)</f>
        <v>3.5804717955149716E-17</v>
      </c>
      <c r="F14">
        <f t="shared" si="2"/>
        <v>4.0000000000000001E-3</v>
      </c>
      <c r="G14">
        <f t="shared" si="3"/>
        <v>3.5804717955149716E-17</v>
      </c>
    </row>
    <row r="15" spans="1:7">
      <c r="D15">
        <v>1000</v>
      </c>
      <c r="E15" cm="1">
        <f t="array" ref="E15">calka_cos(B$1,B$2,D15)</f>
        <v>2.7223003650042772E-17</v>
      </c>
      <c r="F15">
        <f t="shared" si="2"/>
        <v>2E-3</v>
      </c>
      <c r="G15">
        <f t="shared" si="3"/>
        <v>2.7223003650042772E-17</v>
      </c>
    </row>
    <row r="16" spans="1:7">
      <c r="D16">
        <v>2000</v>
      </c>
      <c r="E16" cm="1">
        <f t="array" ref="E16">calka_cos(B$1,B$2,D16)</f>
        <v>-2.9237936212883142E-17</v>
      </c>
      <c r="F16">
        <f t="shared" si="2"/>
        <v>1E-3</v>
      </c>
      <c r="G16">
        <f t="shared" si="3"/>
        <v>2.9237936212883142E-17</v>
      </c>
    </row>
    <row r="17" spans="4:7">
      <c r="D17">
        <v>5000</v>
      </c>
      <c r="E17" cm="1">
        <f t="array" ref="E17">calka_cos(B$1,B$2,D17)</f>
        <v>7.2068554237490865E-17</v>
      </c>
      <c r="F17">
        <f t="shared" si="2"/>
        <v>4.0000000000000002E-4</v>
      </c>
      <c r="G17">
        <f t="shared" si="3"/>
        <v>7.2068554237490865E-17</v>
      </c>
    </row>
    <row r="18" spans="4:7">
      <c r="D18">
        <v>10000</v>
      </c>
      <c r="E18" cm="1">
        <f t="array" ref="E18">calka_cos(B$1,B$2,D18)</f>
        <v>-3.0119313699170645E-17</v>
      </c>
      <c r="F18">
        <f t="shared" si="2"/>
        <v>2.0000000000000001E-4</v>
      </c>
      <c r="G18">
        <f t="shared" si="3"/>
        <v>3.0119313699170645E-17</v>
      </c>
    </row>
    <row r="19" spans="4:7">
      <c r="D19">
        <v>100000</v>
      </c>
      <c r="E19" cm="1">
        <f t="array" ref="E19">calka_cos(B$1,B$2,D19)</f>
        <v>6.9846436092263112E-17</v>
      </c>
      <c r="F19">
        <f t="shared" si="2"/>
        <v>2.0000000000000002E-5</v>
      </c>
      <c r="G19">
        <f t="shared" si="3"/>
        <v>6.9846436092263112E-17</v>
      </c>
    </row>
  </sheetData>
  <conditionalFormatting sqref="D4:G1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8D8D1-1B09-4CC5-817F-CD5F30D40BB3}">
  <sheetPr codeName="Arkusz3"/>
  <dimension ref="A1:G18"/>
  <sheetViews>
    <sheetView topLeftCell="C1" zoomScale="84" workbookViewId="0">
      <selection activeCell="S11" sqref="S11"/>
    </sheetView>
  </sheetViews>
  <sheetFormatPr defaultRowHeight="15"/>
  <cols>
    <col min="5" max="5" width="12.85546875" customWidth="1"/>
    <col min="6" max="6" width="13.5703125" customWidth="1"/>
    <col min="7" max="7" width="16.28515625" customWidth="1"/>
  </cols>
  <sheetData>
    <row r="1" spans="1:7">
      <c r="A1" t="s">
        <v>0</v>
      </c>
      <c r="B1">
        <v>0</v>
      </c>
      <c r="G1" t="s">
        <v>1</v>
      </c>
    </row>
    <row r="2" spans="1:7">
      <c r="A2" t="s">
        <v>2</v>
      </c>
      <c r="B2">
        <v>1</v>
      </c>
      <c r="G2" cm="1">
        <f t="array" ref="G2">log_dokl(B2,B1)</f>
        <v>-0.25</v>
      </c>
    </row>
    <row r="3" spans="1:7">
      <c r="D3" t="s">
        <v>3</v>
      </c>
      <c r="E3" t="s">
        <v>4</v>
      </c>
      <c r="F3" t="s">
        <v>5</v>
      </c>
      <c r="G3" t="s">
        <v>6</v>
      </c>
    </row>
    <row r="4" spans="1:7">
      <c r="D4">
        <v>1</v>
      </c>
      <c r="E4" cm="1">
        <f t="array" ref="E4">calka_log(B$1,B$2,D4)</f>
        <v>-0.34657359027997264</v>
      </c>
      <c r="F4">
        <f>(B$2-B$1)/D4</f>
        <v>1</v>
      </c>
      <c r="G4">
        <f>ABS(E4-G$2)</f>
        <v>9.6573590279972643E-2</v>
      </c>
    </row>
    <row r="5" spans="1:7">
      <c r="D5">
        <v>2</v>
      </c>
      <c r="E5" cm="1">
        <f t="array" ref="E5">calka_log(B$1,B$2,D5)</f>
        <v>-0.28116757230940415</v>
      </c>
      <c r="F5">
        <f t="shared" ref="F5:F18" si="0">(B$2-B$1)/D5</f>
        <v>0.5</v>
      </c>
      <c r="G5">
        <f t="shared" ref="G5:G18" si="1">ABS(E5-G$2)</f>
        <v>3.1167572309404146E-2</v>
      </c>
    </row>
    <row r="6" spans="1:7">
      <c r="D6">
        <v>3</v>
      </c>
      <c r="E6" cm="1">
        <f t="array" ref="E6">calka_log(B$1,B$2,D6)</f>
        <v>-0.26571159971542574</v>
      </c>
      <c r="F6">
        <f t="shared" si="0"/>
        <v>0.33333333333333331</v>
      </c>
      <c r="G6">
        <f t="shared" si="1"/>
        <v>1.5711599715425739E-2</v>
      </c>
    </row>
    <row r="7" spans="1:7">
      <c r="D7">
        <v>4</v>
      </c>
      <c r="E7" cm="1">
        <f t="array" ref="E7">calka_log(B$1,B$2,D7)</f>
        <v>-0.25958334985360471</v>
      </c>
      <c r="F7">
        <f t="shared" si="0"/>
        <v>0.25</v>
      </c>
      <c r="G7">
        <f t="shared" si="1"/>
        <v>9.5833498536047057E-3</v>
      </c>
    </row>
    <row r="8" spans="1:7">
      <c r="D8">
        <v>5</v>
      </c>
      <c r="E8" cm="1">
        <f t="array" ref="E8">calka_log(B$1,B$2,D8)</f>
        <v>-0.25650417314526286</v>
      </c>
      <c r="F8">
        <f t="shared" si="0"/>
        <v>0.2</v>
      </c>
      <c r="G8">
        <f t="shared" si="1"/>
        <v>6.5041731452628593E-3</v>
      </c>
    </row>
    <row r="9" spans="1:7">
      <c r="D9">
        <v>10</v>
      </c>
      <c r="E9" cm="1">
        <f t="array" ref="E9">calka_log(B$1,B$2,D9)</f>
        <v>-0.25191449285188927</v>
      </c>
      <c r="F9">
        <f t="shared" si="0"/>
        <v>0.1</v>
      </c>
      <c r="G9">
        <f t="shared" si="1"/>
        <v>1.9144928518892712E-3</v>
      </c>
    </row>
    <row r="10" spans="1:7">
      <c r="D10">
        <v>25</v>
      </c>
      <c r="E10" cm="1">
        <f t="array" ref="E10">calka_log(B$1,B$2,D10)</f>
        <v>-0.25036738860157198</v>
      </c>
      <c r="F10">
        <f t="shared" si="0"/>
        <v>0.04</v>
      </c>
      <c r="G10">
        <f t="shared" si="1"/>
        <v>3.6738860157198294E-4</v>
      </c>
    </row>
    <row r="11" spans="1:7">
      <c r="D11">
        <v>50</v>
      </c>
      <c r="E11" cm="1">
        <f t="array" ref="E11">calka_log(B$1,B$2,D11)</f>
        <v>-0.25010339902025336</v>
      </c>
      <c r="F11">
        <f t="shared" si="0"/>
        <v>0.02</v>
      </c>
      <c r="G11">
        <f t="shared" si="1"/>
        <v>1.0339902025335856E-4</v>
      </c>
    </row>
    <row r="12" spans="1:7">
      <c r="D12">
        <v>100</v>
      </c>
      <c r="E12" cm="1">
        <f t="array" ref="E12">calka_log(B$1,B$2,D12)</f>
        <v>-0.25002873783186019</v>
      </c>
      <c r="F12">
        <f t="shared" si="0"/>
        <v>0.01</v>
      </c>
      <c r="G12">
        <f t="shared" si="1"/>
        <v>2.8737831860192742E-5</v>
      </c>
    </row>
    <row r="13" spans="1:7">
      <c r="D13">
        <v>200</v>
      </c>
      <c r="E13" cm="1">
        <f t="array" ref="E13">calka_log(B$1,B$2,D13)</f>
        <v>-0.25000790648399962</v>
      </c>
      <c r="F13">
        <f t="shared" si="0"/>
        <v>5.0000000000000001E-3</v>
      </c>
      <c r="G13">
        <f t="shared" si="1"/>
        <v>7.9064839996201286E-6</v>
      </c>
    </row>
    <row r="14" spans="1:7">
      <c r="D14">
        <v>500</v>
      </c>
      <c r="E14" cm="1">
        <f t="array" ref="E14">calka_log(B$1,B$2,D14)</f>
        <v>-0.25000141775245988</v>
      </c>
      <c r="F14">
        <f t="shared" si="0"/>
        <v>2E-3</v>
      </c>
      <c r="G14">
        <f t="shared" si="1"/>
        <v>1.4177524598757429E-6</v>
      </c>
    </row>
    <row r="15" spans="1:7">
      <c r="D15">
        <v>1000</v>
      </c>
      <c r="E15" cm="1">
        <f t="array" ref="E15">calka_log(B$1,B$2,D15)</f>
        <v>-0.2500003833192439</v>
      </c>
      <c r="F15">
        <f t="shared" si="0"/>
        <v>1E-3</v>
      </c>
      <c r="G15">
        <f t="shared" si="1"/>
        <v>3.8331924390178074E-7</v>
      </c>
    </row>
    <row r="16" spans="1:7">
      <c r="D16">
        <v>2000</v>
      </c>
      <c r="E16" cm="1">
        <f t="array" ref="E16">calka_log(B$1,B$2,D16)</f>
        <v>-0.25000010305009351</v>
      </c>
      <c r="F16">
        <f t="shared" si="0"/>
        <v>5.0000000000000001E-4</v>
      </c>
      <c r="G16">
        <f t="shared" si="1"/>
        <v>1.0305009351396777E-7</v>
      </c>
    </row>
    <row r="17" spans="4:7">
      <c r="D17">
        <v>5000</v>
      </c>
      <c r="E17" cm="1">
        <f t="array" ref="E17">calka_log(B$1,B$2,D17)</f>
        <v>-0.25000001801516614</v>
      </c>
      <c r="F17">
        <f t="shared" si="0"/>
        <v>2.0000000000000001E-4</v>
      </c>
      <c r="G17">
        <f t="shared" si="1"/>
        <v>1.8015166136642335E-8</v>
      </c>
    </row>
    <row r="18" spans="4:7">
      <c r="D18">
        <v>10000</v>
      </c>
      <c r="E18" cm="1">
        <f t="array" ref="E18">calka_log(B$1,B$2,D18)</f>
        <v>-0.25000000479260309</v>
      </c>
      <c r="F18">
        <f t="shared" si="0"/>
        <v>1E-4</v>
      </c>
      <c r="G18">
        <f t="shared" si="1"/>
        <v>4.7926030921630058E-9</v>
      </c>
    </row>
  </sheetData>
  <conditionalFormatting sqref="D4:G1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3464D-9342-401B-B7F1-C5463E4D479A}">
  <sheetPr codeName="Arkusz4"/>
  <dimension ref="A1:G14"/>
  <sheetViews>
    <sheetView tabSelected="1" topLeftCell="C1" workbookViewId="0">
      <selection activeCell="Q24" sqref="Q24"/>
    </sheetView>
  </sheetViews>
  <sheetFormatPr defaultRowHeight="15"/>
  <cols>
    <col min="5" max="5" width="10.85546875" customWidth="1"/>
    <col min="6" max="6" width="14.5703125" customWidth="1"/>
    <col min="7" max="7" width="15.85546875" customWidth="1"/>
  </cols>
  <sheetData>
    <row r="1" spans="1:7">
      <c r="A1" t="s">
        <v>0</v>
      </c>
      <c r="B1">
        <v>-2</v>
      </c>
      <c r="G1" t="s">
        <v>1</v>
      </c>
    </row>
    <row r="2" spans="1:7">
      <c r="A2" t="s">
        <v>2</v>
      </c>
      <c r="B2">
        <v>2</v>
      </c>
      <c r="G2" cm="1">
        <f t="array" ref="G2">e_dokl(B2,B1)</f>
        <v>2.3302722062394619</v>
      </c>
    </row>
    <row r="3" spans="1:7">
      <c r="D3" t="s">
        <v>3</v>
      </c>
      <c r="E3" t="s">
        <v>4</v>
      </c>
      <c r="F3" t="s">
        <v>5</v>
      </c>
      <c r="G3" t="s">
        <v>6</v>
      </c>
    </row>
    <row r="4" spans="1:7">
      <c r="D4">
        <v>5</v>
      </c>
      <c r="E4" cm="1">
        <f t="array" ref="E4">calka_e(B$1,B$2,D4)</f>
        <v>1.9155399397979429</v>
      </c>
      <c r="F4">
        <f t="shared" ref="F4:F14" si="0">(B$2-B$1)/D4</f>
        <v>0.8</v>
      </c>
      <c r="G4">
        <f t="shared" ref="G4:G14" si="1">ABS(E4-G$2)</f>
        <v>0.41473226644151895</v>
      </c>
    </row>
    <row r="5" spans="1:7">
      <c r="D5">
        <v>10</v>
      </c>
      <c r="E5" cm="1">
        <f t="array" ref="E5">calka_e(B$1,B$2,D5)</f>
        <v>2.2250040787479355</v>
      </c>
      <c r="F5">
        <f t="shared" si="0"/>
        <v>0.4</v>
      </c>
      <c r="G5">
        <f t="shared" si="1"/>
        <v>0.10526812749152636</v>
      </c>
    </row>
    <row r="6" spans="1:7">
      <c r="D6">
        <v>25</v>
      </c>
      <c r="E6" cm="1">
        <f t="array" ref="E6">calka_e(B$1,B$2,D6)</f>
        <v>2.3133576274039518</v>
      </c>
      <c r="F6">
        <f t="shared" si="0"/>
        <v>0.16</v>
      </c>
      <c r="G6">
        <f t="shared" si="1"/>
        <v>1.6914578835510063E-2</v>
      </c>
    </row>
    <row r="7" spans="1:7">
      <c r="D7">
        <v>50</v>
      </c>
      <c r="E7" cm="1">
        <f t="array" ref="E7">calka_e(B$1,B$2,D7)</f>
        <v>2.3260409955810402</v>
      </c>
      <c r="F7">
        <f t="shared" si="0"/>
        <v>0.08</v>
      </c>
      <c r="G7">
        <f t="shared" si="1"/>
        <v>4.2312106584216913E-3</v>
      </c>
    </row>
    <row r="8" spans="1:7">
      <c r="D8">
        <v>100</v>
      </c>
      <c r="E8" cm="1">
        <f t="array" ref="E8">calka_e(B$1,B$2,D8)</f>
        <v>2.329214243144258</v>
      </c>
      <c r="F8">
        <f t="shared" si="0"/>
        <v>0.04</v>
      </c>
      <c r="G8">
        <f t="shared" si="1"/>
        <v>1.0579630952038954E-3</v>
      </c>
    </row>
    <row r="9" spans="1:7">
      <c r="D9">
        <v>200</v>
      </c>
      <c r="E9" cm="1">
        <f t="array" ref="E9">calka_e(B$1,B$2,D9)</f>
        <v>2.3300077054378283</v>
      </c>
      <c r="F9">
        <f t="shared" si="0"/>
        <v>0.02</v>
      </c>
      <c r="G9">
        <f t="shared" si="1"/>
        <v>2.6450080163353817E-4</v>
      </c>
    </row>
    <row r="10" spans="1:7">
      <c r="D10">
        <v>500</v>
      </c>
      <c r="E10" cm="1">
        <f t="array" ref="E10">calka_e(B$1,B$2,D10)</f>
        <v>2.3302298856619452</v>
      </c>
      <c r="F10">
        <f t="shared" si="0"/>
        <v>8.0000000000000002E-3</v>
      </c>
      <c r="G10">
        <f t="shared" si="1"/>
        <v>4.2320577516630209E-5</v>
      </c>
    </row>
    <row r="11" spans="1:7">
      <c r="D11">
        <v>1000</v>
      </c>
      <c r="E11" cm="1">
        <f t="array" ref="E11">calka_e(B$1,B$2,D11)</f>
        <v>2.3302616260790359</v>
      </c>
      <c r="F11">
        <f t="shared" si="0"/>
        <v>4.0000000000000001E-3</v>
      </c>
      <c r="G11">
        <f t="shared" si="1"/>
        <v>1.0580160425988083E-5</v>
      </c>
    </row>
    <row r="12" spans="1:7">
      <c r="D12">
        <v>2000</v>
      </c>
      <c r="E12" cm="1">
        <f t="array" ref="E12">calka_e(B$1,B$2,D12)</f>
        <v>2.3302695611983593</v>
      </c>
      <c r="F12">
        <f t="shared" si="0"/>
        <v>2E-3</v>
      </c>
      <c r="G12">
        <f t="shared" si="1"/>
        <v>2.6450411025891185E-6</v>
      </c>
    </row>
    <row r="13" spans="1:7">
      <c r="D13">
        <v>5000</v>
      </c>
      <c r="E13" cm="1">
        <f t="array" ref="E13">calka_e(B$1,B$2,D13)</f>
        <v>2.3302717830328459</v>
      </c>
      <c r="F13">
        <f t="shared" si="0"/>
        <v>8.0000000000000004E-4</v>
      </c>
      <c r="G13">
        <f t="shared" si="1"/>
        <v>4.2320661597372577E-7</v>
      </c>
    </row>
    <row r="14" spans="1:7">
      <c r="D14">
        <v>10000</v>
      </c>
      <c r="E14" cm="1">
        <f t="array" ref="E14">calka_e(B$1,B$2,D14)</f>
        <v>2.3302721004378149</v>
      </c>
      <c r="F14">
        <f t="shared" si="0"/>
        <v>4.0000000000000002E-4</v>
      </c>
      <c r="G14">
        <f t="shared" si="1"/>
        <v>1.0580164699902639E-7</v>
      </c>
    </row>
  </sheetData>
  <conditionalFormatting sqref="D4:G14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a2b08649-6cc7-4df6-8ccb-e514d8d0c671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7865B27B34A14941933CA28510E02670" ma:contentTypeVersion="7" ma:contentTypeDescription="Utwórz nowy dokument." ma:contentTypeScope="" ma:versionID="1a4efdccd3c971d9662f2710c0a01f0c">
  <xsd:schema xmlns:xsd="http://www.w3.org/2001/XMLSchema" xmlns:xs="http://www.w3.org/2001/XMLSchema" xmlns:p="http://schemas.microsoft.com/office/2006/metadata/properties" xmlns:ns2="a2b08649-6cc7-4df6-8ccb-e514d8d0c671" targetNamespace="http://schemas.microsoft.com/office/2006/metadata/properties" ma:root="true" ma:fieldsID="a7a389cae39e3343d8af9a7063b8b039" ns2:_="">
    <xsd:import namespace="a2b08649-6cc7-4df6-8ccb-e514d8d0c671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b08649-6cc7-4df6-8ccb-e514d8d0c671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AEC9D95-0F24-4EDD-8806-F9A67DBCC86C}"/>
</file>

<file path=customXml/itemProps2.xml><?xml version="1.0" encoding="utf-8"?>
<ds:datastoreItem xmlns:ds="http://schemas.openxmlformats.org/officeDocument/2006/customXml" ds:itemID="{86328DA3-6D7E-406F-93A0-74824C73EA21}"/>
</file>

<file path=customXml/itemProps3.xml><?xml version="1.0" encoding="utf-8"?>
<ds:datastoreItem xmlns:ds="http://schemas.openxmlformats.org/officeDocument/2006/customXml" ds:itemID="{85E89F02-C8A6-4A62-B871-5CE8BEA8627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Jakub Mieczkowski</dc:creator>
  <cp:keywords/>
  <dc:description/>
  <cp:lastModifiedBy>Mieczkowski Jakub (STUD)</cp:lastModifiedBy>
  <cp:revision/>
  <dcterms:created xsi:type="dcterms:W3CDTF">2021-10-30T16:06:29Z</dcterms:created>
  <dcterms:modified xsi:type="dcterms:W3CDTF">2022-07-17T08:24:01Z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0x0101007865B27B34A14941933CA28510E02670</vt:lpwstr>
  </property>
  <property fmtid="{D5CDD505-2E9C-101B-9397-08002B2CF9AE}" pid="3" name="Order">
    <vt:r8>6800</vt:r8>
  </property>
  <property fmtid="{D5CDD505-2E9C-101B-9397-08002B2CF9AE}" pid="4" name="_ExtendedDescription">
    <vt:lpwstr/>
  </property>
  <property fmtid="{D5CDD505-2E9C-101B-9397-08002B2CF9AE}" pid="5" name="TriggerFlowInfo">
    <vt:lpwstr/>
  </property>
  <property fmtid="{D5CDD505-2E9C-101B-9397-08002B2CF9AE}" pid="6" name="ComplianceAssetId">
    <vt:lpwstr/>
  </property>
</Properties>
</file>