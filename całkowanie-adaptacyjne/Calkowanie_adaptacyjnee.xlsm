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kubam\Documents\Szkoła\Kuba\Studia\"/>
    </mc:Choice>
  </mc:AlternateContent>
  <xr:revisionPtr revIDLastSave="0" documentId="13_ncr:1_{6E85CB13-3A54-4EEF-B48E-10C908164E4F}" xr6:coauthVersionLast="47" xr6:coauthVersionMax="47" xr10:uidLastSave="{00000000-0000-0000-0000-000000000000}"/>
  <bookViews>
    <workbookView xWindow="-110" yWindow="-110" windowWidth="19420" windowHeight="10420" activeTab="1" xr2:uid="{57E9C16E-3985-4003-9195-A43F5BE65769}"/>
  </bookViews>
  <sheets>
    <sheet name="Tablice Romberga" sheetId="1" r:id="rId1"/>
    <sheet name="Tabele i wykresy" sheetId="2" r:id="rId2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3" i="1" l="1" a="1"/>
  <c r="O4" i="1" a="1"/>
  <c r="H3" i="2" a="1"/>
  <c r="O6" i="1" a="1"/>
  <c r="O5" i="1" a="1"/>
  <c r="B47" i="1" a="1"/>
  <c r="B3" i="1" a="1"/>
  <c r="B18" i="1" a="1"/>
  <c r="O3" i="1" a="1"/>
  <c r="A3" i="2" a="1"/>
  <c r="B33" i="1" l="1"/>
  <c r="A3" i="2"/>
  <c r="O3" i="1"/>
  <c r="B18" i="1"/>
  <c r="B3" i="1"/>
  <c r="B47" i="1"/>
  <c r="O5" i="1"/>
  <c r="O6" i="1"/>
  <c r="H3" i="2"/>
  <c r="O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<sst xmlns="http://schemas.openxmlformats.org/spreadsheetml/2006/main" count="17" uniqueCount="14">
  <si>
    <t>i-ty krok metody Romberga</t>
  </si>
  <si>
    <t>Romberg sin(x)</t>
  </si>
  <si>
    <t>Funkcja</t>
  </si>
  <si>
    <t>Dokładna wartość całkowania</t>
  </si>
  <si>
    <t>sin(x)</t>
  </si>
  <si>
    <t>x*cos(x)</t>
  </si>
  <si>
    <t>(x^2 −1)e^(−x/2)</t>
  </si>
  <si>
    <t>xln(x)</t>
  </si>
  <si>
    <t>Romberg x*cos(x)</t>
  </si>
  <si>
    <t xml:space="preserve">Romberg (x^2 −1)e^(−x/2) </t>
  </si>
  <si>
    <t xml:space="preserve">xln(x)     </t>
  </si>
  <si>
    <t>Ilość kroków w metodzie romberga</t>
  </si>
  <si>
    <t>Błąd przybliżenia metodą romberga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</si>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</sst>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3"/>
      <color theme="0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medium">
        <color rgb="FFFFFFFF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medium">
        <color rgb="FFFFFFFF"/>
      </bottom>
      <diagonal/>
    </border>
    <border>
      <left style="thin">
        <color rgb="FFE7E6E6"/>
      </left>
      <right style="thin">
        <color rgb="FFE7E6E6"/>
      </right>
      <top/>
      <bottom/>
      <diagonal/>
    </border>
    <border>
      <left style="thin">
        <color rgb="FFE7E6E6"/>
      </left>
      <right style="thin">
        <color rgb="FFE7E6E6"/>
      </right>
      <top/>
      <bottom style="thin">
        <color rgb="FFE7E6E6"/>
      </bottom>
      <diagonal/>
    </border>
    <border>
      <left style="thin">
        <color rgb="FFE7E6E6"/>
      </left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3" borderId="0" xfId="0" applyFill="1"/>
    <xf numFmtId="0" fontId="0" fillId="4" borderId="0" xfId="0" applyFill="1"/>
    <xf numFmtId="0" fontId="1" fillId="0" borderId="0" xfId="0" applyFont="1"/>
    <xf numFmtId="0" fontId="0" fillId="3" borderId="1" xfId="0" applyFill="1" applyBorder="1"/>
    <xf numFmtId="0" fontId="1" fillId="2" borderId="4" xfId="0" applyFont="1" applyFill="1" applyBorder="1" applyAlignment="1">
      <alignment wrapText="1"/>
    </xf>
    <xf numFmtId="0" fontId="0" fillId="3" borderId="5" xfId="0" applyFill="1" applyBorder="1"/>
    <xf numFmtId="0" fontId="0" fillId="4" borderId="5" xfId="0" applyFill="1" applyBorder="1"/>
    <xf numFmtId="0" fontId="0" fillId="3" borderId="6" xfId="0" applyFill="1" applyBorder="1"/>
    <xf numFmtId="0" fontId="0" fillId="0" borderId="3" xfId="0" applyBorder="1"/>
    <xf numFmtId="0" fontId="2" fillId="2" borderId="2" xfId="0" applyFont="1" applyFill="1" applyBorder="1" applyAlignment="1">
      <alignment horizontal="center" vertical="center" wrapText="1"/>
    </xf>
    <xf numFmtId="2" fontId="0" fillId="0" borderId="0" xfId="0" applyNumberFormat="1"/>
    <xf numFmtId="0" fontId="0" fillId="0" borderId="0" xfId="0" applyNumberFormat="1"/>
    <xf numFmtId="0" fontId="2" fillId="2" borderId="0" xfId="0" applyFont="1" applyFill="1" applyAlignment="1">
      <alignment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Normalny" xfId="0" builtinId="0"/>
  </cellStyles>
  <dxfs count="6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Ilość</a:t>
            </a:r>
            <a:r>
              <a:rPr lang="pl-PL" baseline="0"/>
              <a:t> kroków metody romberga w zależności od rzędu epsilona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'Tabele i wykresy'!$B$3</c:f>
              <c:strCache>
                <c:ptCount val="1"/>
                <c:pt idx="0">
                  <c:v>sin(x)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'Tabele i wykresy'!$A$4:$A$18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'Tabele i wykresy'!$B$4:$B$18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01-4B90-BB49-64951A762A3B}"/>
            </c:ext>
          </c:extLst>
        </c:ser>
        <c:ser>
          <c:idx val="1"/>
          <c:order val="1"/>
          <c:tx>
            <c:strRef>
              <c:f>'Tabele i wykresy'!$C$3</c:f>
              <c:strCache>
                <c:ptCount val="1"/>
                <c:pt idx="0">
                  <c:v>xcos(x)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'Tabele i wykresy'!$A$4:$A$18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'Tabele i wykresy'!$C$4:$C$18</c:f>
              <c:numCache>
                <c:formatCode>General</c:formatCode>
                <c:ptCount val="15"/>
                <c:pt idx="0">
                  <c:v>5</c:v>
                </c:pt>
                <c:pt idx="1">
                  <c:v>5</c:v>
                </c:pt>
                <c:pt idx="2">
                  <c:v>6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01-4B90-BB49-64951A762A3B}"/>
            </c:ext>
          </c:extLst>
        </c:ser>
        <c:ser>
          <c:idx val="2"/>
          <c:order val="2"/>
          <c:tx>
            <c:strRef>
              <c:f>'Tabele i wykresy'!$D$3</c:f>
              <c:strCache>
                <c:ptCount val="1"/>
                <c:pt idx="0">
                  <c:v>(x^2 -1)e^(-x/2)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'Tabele i wykresy'!$A$4:$A$18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'Tabele i wykresy'!$D$4:$D$18</c:f>
              <c:numCache>
                <c:formatCode>General</c:formatCode>
                <c:ptCount val="15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01-4B90-BB49-64951A762A3B}"/>
            </c:ext>
          </c:extLst>
        </c:ser>
        <c:ser>
          <c:idx val="3"/>
          <c:order val="3"/>
          <c:tx>
            <c:strRef>
              <c:f>'Tabele i wykresy'!$E$3</c:f>
              <c:strCache>
                <c:ptCount val="1"/>
                <c:pt idx="0">
                  <c:v>xln(x)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'Tabele i wykresy'!$A$4:$A$18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cat>
          <c:val>
            <c:numRef>
              <c:f>'Tabele i wykresy'!$E$4:$E$18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15</c:v>
                </c:pt>
                <c:pt idx="9">
                  <c:v>17</c:v>
                </c:pt>
                <c:pt idx="10">
                  <c:v>19</c:v>
                </c:pt>
                <c:pt idx="11">
                  <c:v>20</c:v>
                </c:pt>
                <c:pt idx="12">
                  <c:v>22</c:v>
                </c:pt>
                <c:pt idx="13">
                  <c:v>23</c:v>
                </c:pt>
                <c:pt idx="1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01-4B90-BB49-64951A762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2989343"/>
        <c:axId val="1355644911"/>
      </c:lineChart>
      <c:catAx>
        <c:axId val="134298934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 Rząd</a:t>
                </a:r>
                <a:r>
                  <a:rPr lang="pl-PL" baseline="0"/>
                  <a:t> epsilona</a:t>
                </a:r>
                <a:endParaRPr lang="pl-P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55644911"/>
        <c:crosses val="autoZero"/>
        <c:auto val="1"/>
        <c:lblAlgn val="ctr"/>
        <c:lblOffset val="100"/>
        <c:noMultiLvlLbl val="0"/>
      </c:catAx>
      <c:valAx>
        <c:axId val="135564491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ilość kroków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429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385536</xdr:colOff>
      <xdr:row>20</xdr:row>
      <xdr:rowOff>170545</xdr:rowOff>
    </xdr:from>
    <xdr:to>
      <xdr:col>7</xdr:col>
      <xdr:colOff>149679</xdr:colOff>
      <xdr:row>36</xdr:row>
      <xdr:rowOff>10887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3E8E993E-CBEA-40E7-8C97-3EBFC1D3A7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BE308-FD52-4D32-B5B2-393381CB4D65}">
  <sheetPr codeName="Arkusz1"/>
  <dimension ref="A2:U71"/>
  <sheetViews>
    <sheetView zoomScale="55" zoomScaleNormal="55" workbookViewId="0">
      <selection activeCell="O38" sqref="O38"/>
    </sheetView>
  </sheetViews>
  <sheetFormatPr defaultRowHeight="14.5" x14ac:dyDescent="0.35"/>
  <cols>
    <col min="1" max="1" width="14.54296875" customWidth="1"/>
    <col min="2" max="21" width="15.453125" bestFit="1" customWidth="1"/>
    <col min="22" max="35" width="12.81640625" bestFit="1" customWidth="1"/>
  </cols>
  <sheetData>
    <row r="2" spans="1:15" ht="45.75" customHeight="1" thickBot="1" x14ac:dyDescent="0.4">
      <c r="A2" s="5" t="s">
        <v>0</v>
      </c>
      <c r="B2" s="14" t="s">
        <v>1</v>
      </c>
      <c r="C2" s="15"/>
      <c r="D2" s="15"/>
      <c r="E2" s="15"/>
      <c r="F2" s="15"/>
      <c r="G2" s="15"/>
      <c r="N2" s="5" t="s">
        <v>2</v>
      </c>
      <c r="O2" s="10" t="s">
        <v>3</v>
      </c>
    </row>
    <row r="3" spans="1:15" x14ac:dyDescent="0.35">
      <c r="A3" s="6">
        <v>1</v>
      </c>
      <c r="B3" s="1" cm="1">
        <f t="array" ref="B3:G8">romberg_sin(0,PI(),8)</f>
        <v>1.9236706937217898E-16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N3" s="6" t="s">
        <v>4</v>
      </c>
      <c r="O3" s="1" cm="1">
        <f t="array" ref="O3">sin_dokl(PI(),0)</f>
        <v>2</v>
      </c>
    </row>
    <row r="4" spans="1:15" x14ac:dyDescent="0.35">
      <c r="A4" s="7">
        <v>2</v>
      </c>
      <c r="B4" s="2">
        <v>1.5707963267948966</v>
      </c>
      <c r="C4" s="2">
        <v>2.0943951023931953</v>
      </c>
      <c r="D4" s="2">
        <v>0</v>
      </c>
      <c r="E4" s="2">
        <v>0</v>
      </c>
      <c r="F4" s="2">
        <v>0</v>
      </c>
      <c r="G4" s="2">
        <v>0</v>
      </c>
      <c r="N4" s="7" t="s">
        <v>5</v>
      </c>
      <c r="O4" s="2" cm="1">
        <f t="array" ref="O4">cos_dokl(5,-1)</f>
        <v>-5.8927324785285018</v>
      </c>
    </row>
    <row r="5" spans="1:15" x14ac:dyDescent="0.35">
      <c r="A5" s="6">
        <v>3</v>
      </c>
      <c r="B5" s="1">
        <v>1.8961188979370398</v>
      </c>
      <c r="C5" s="1">
        <v>2.0045597549844207</v>
      </c>
      <c r="D5" s="1">
        <v>1.9985707318238357</v>
      </c>
      <c r="E5" s="1">
        <v>0</v>
      </c>
      <c r="F5" s="4">
        <v>0</v>
      </c>
      <c r="G5" s="4">
        <v>0</v>
      </c>
      <c r="N5" s="6" t="s">
        <v>6</v>
      </c>
      <c r="O5" s="1" cm="1">
        <f t="array" ref="O5">e_dokl(2,-2)</f>
        <v>2.3302722062394619</v>
      </c>
    </row>
    <row r="6" spans="1:15" x14ac:dyDescent="0.35">
      <c r="A6" s="7">
        <v>4</v>
      </c>
      <c r="B6" s="2">
        <v>1.974231601945551</v>
      </c>
      <c r="C6" s="2">
        <v>2.0002691699483881</v>
      </c>
      <c r="D6" s="2">
        <v>1.9999831309459859</v>
      </c>
      <c r="E6" s="2">
        <v>2.0000055499796709</v>
      </c>
      <c r="F6" s="2">
        <v>0</v>
      </c>
      <c r="G6" s="2">
        <v>0</v>
      </c>
      <c r="N6" s="7" t="s">
        <v>7</v>
      </c>
      <c r="O6" s="2" cm="1">
        <f t="array" ref="O6">log_dokl(1,0)</f>
        <v>-0.25</v>
      </c>
    </row>
    <row r="7" spans="1:15" x14ac:dyDescent="0.35">
      <c r="A7" s="6">
        <v>5</v>
      </c>
      <c r="B7" s="1">
        <v>1.9935703437723395</v>
      </c>
      <c r="C7" s="1">
        <v>2.0000165910479355</v>
      </c>
      <c r="D7" s="1">
        <v>1.9999997524545721</v>
      </c>
      <c r="E7" s="1">
        <v>2.0000000162880416</v>
      </c>
      <c r="F7" s="1">
        <v>1.9999999945872902</v>
      </c>
      <c r="G7" s="1">
        <v>0</v>
      </c>
    </row>
    <row r="8" spans="1:15" x14ac:dyDescent="0.35">
      <c r="A8" s="7">
        <v>6</v>
      </c>
      <c r="B8" s="2">
        <v>1.9983933609701445</v>
      </c>
      <c r="C8" s="2">
        <v>2.0000010333694127</v>
      </c>
      <c r="D8" s="2">
        <v>1.9999999961908446</v>
      </c>
      <c r="E8" s="2">
        <v>2.0000000000596745</v>
      </c>
      <c r="F8" s="2">
        <v>1.9999999999960338</v>
      </c>
      <c r="G8" s="2">
        <v>2.0000000000013212</v>
      </c>
    </row>
    <row r="15" spans="1:15" x14ac:dyDescent="0.35">
      <c r="D15" s="9"/>
    </row>
    <row r="17" spans="1:14" ht="46.5" customHeight="1" thickBot="1" x14ac:dyDescent="0.4">
      <c r="A17" s="5" t="s">
        <v>0</v>
      </c>
      <c r="B17" s="14" t="s">
        <v>8</v>
      </c>
      <c r="C17" s="15"/>
      <c r="D17" s="15"/>
      <c r="E17" s="15"/>
      <c r="F17" s="15"/>
      <c r="G17" s="15"/>
      <c r="H17" s="15"/>
      <c r="I17" s="15"/>
    </row>
    <row r="18" spans="1:14" x14ac:dyDescent="0.35">
      <c r="A18" s="6">
        <v>1</v>
      </c>
      <c r="B18" s="1" cm="1">
        <f t="array" ref="B18:I25">romberg_cos(-1,5,10)</f>
        <v>2.6340258643439745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14" x14ac:dyDescent="0.35">
      <c r="A19" s="7">
        <v>2</v>
      </c>
      <c r="B19" s="2">
        <v>-1.1798680871108673</v>
      </c>
      <c r="C19" s="2">
        <v>-2.4511660709291481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</row>
    <row r="20" spans="1:14" x14ac:dyDescent="0.35">
      <c r="A20" s="6">
        <v>3</v>
      </c>
      <c r="B20" s="1">
        <v>-4.8481447304143348</v>
      </c>
      <c r="C20" s="1">
        <v>-6.0709036115154902</v>
      </c>
      <c r="D20" s="1">
        <v>-6.3122194475545799</v>
      </c>
      <c r="E20" s="1">
        <v>0</v>
      </c>
      <c r="F20" s="4">
        <v>0</v>
      </c>
      <c r="G20" s="1">
        <v>0</v>
      </c>
      <c r="H20" s="1">
        <v>0</v>
      </c>
      <c r="I20" s="1">
        <v>0</v>
      </c>
    </row>
    <row r="21" spans="1:14" x14ac:dyDescent="0.35">
      <c r="A21" s="7">
        <v>4</v>
      </c>
      <c r="B21" s="2">
        <v>-5.6384062595620197</v>
      </c>
      <c r="C21" s="2">
        <v>-5.9018267692779149</v>
      </c>
      <c r="D21" s="2">
        <v>-5.89055497979541</v>
      </c>
      <c r="E21" s="2">
        <v>-5.8838618930055819</v>
      </c>
      <c r="F21" s="2">
        <v>0</v>
      </c>
      <c r="G21" s="2">
        <v>0</v>
      </c>
      <c r="H21" s="2">
        <v>0</v>
      </c>
      <c r="I21" s="2">
        <v>0</v>
      </c>
    </row>
    <row r="22" spans="1:14" x14ac:dyDescent="0.35">
      <c r="A22" s="6">
        <v>5</v>
      </c>
      <c r="B22" s="1">
        <v>-5.8295579676686291</v>
      </c>
      <c r="C22" s="1">
        <v>-5.8932752037041656</v>
      </c>
      <c r="D22" s="1">
        <v>-5.8927050993325825</v>
      </c>
      <c r="E22" s="1">
        <v>-5.8927392282141247</v>
      </c>
      <c r="F22" s="1">
        <v>-5.8927740412933742</v>
      </c>
      <c r="G22" s="1">
        <v>0</v>
      </c>
      <c r="H22" s="1">
        <v>0</v>
      </c>
      <c r="I22" s="1">
        <v>0</v>
      </c>
    </row>
    <row r="23" spans="1:14" x14ac:dyDescent="0.35">
      <c r="A23" s="7">
        <v>6</v>
      </c>
      <c r="B23" s="2">
        <v>-5.8769640049534431</v>
      </c>
      <c r="C23" s="2">
        <v>-5.8927660173817147</v>
      </c>
      <c r="D23" s="2">
        <v>-5.8927320716268845</v>
      </c>
      <c r="E23" s="2">
        <v>-5.89273249975854</v>
      </c>
      <c r="F23" s="2">
        <v>-5.8927324733724396</v>
      </c>
      <c r="G23" s="2">
        <v>-5.892732432739086</v>
      </c>
      <c r="H23" s="2">
        <v>0</v>
      </c>
      <c r="I23" s="2">
        <v>0</v>
      </c>
    </row>
    <row r="24" spans="1:14" x14ac:dyDescent="0.35">
      <c r="A24" s="6">
        <v>7</v>
      </c>
      <c r="B24" s="1">
        <v>-5.8887919278527159</v>
      </c>
      <c r="C24" s="1">
        <v>-5.8927345688191402</v>
      </c>
      <c r="D24" s="1">
        <v>-5.8927324722483014</v>
      </c>
      <c r="E24" s="1">
        <v>-5.8927324786073711</v>
      </c>
      <c r="F24" s="1">
        <v>-5.8927324785244251</v>
      </c>
      <c r="G24" s="1">
        <v>-5.892732478529461</v>
      </c>
      <c r="H24" s="1">
        <v>-5.8927324785406432</v>
      </c>
      <c r="I24" s="1">
        <v>0</v>
      </c>
    </row>
    <row r="25" spans="1:14" x14ac:dyDescent="0.35">
      <c r="A25" s="7"/>
      <c r="B25" s="2">
        <v>-5.8917474387731437</v>
      </c>
      <c r="C25" s="2">
        <v>-5.8927326090799532</v>
      </c>
      <c r="D25" s="2">
        <v>-5.8927324784306743</v>
      </c>
      <c r="E25" s="2">
        <v>-5.8927324785288073</v>
      </c>
      <c r="F25" s="2">
        <v>-5.8927324785284991</v>
      </c>
      <c r="G25" s="2">
        <v>-5.8927324785285027</v>
      </c>
      <c r="H25" s="2">
        <v>-5.8927324785285027</v>
      </c>
      <c r="I25" s="2">
        <v>-5.8927324785285018</v>
      </c>
    </row>
    <row r="31" spans="1:14" x14ac:dyDescent="0.35">
      <c r="E31" s="3"/>
    </row>
    <row r="32" spans="1:14" ht="47.25" customHeight="1" thickBot="1" x14ac:dyDescent="0.4">
      <c r="A32" s="5" t="s">
        <v>0</v>
      </c>
      <c r="B32" s="14" t="s">
        <v>9</v>
      </c>
      <c r="C32" s="15"/>
      <c r="D32" s="15"/>
      <c r="E32" s="15"/>
      <c r="F32" s="15"/>
      <c r="G32" s="15"/>
      <c r="H32" s="15"/>
      <c r="I32" s="13"/>
      <c r="J32" s="13"/>
      <c r="K32" s="13"/>
      <c r="L32" s="13"/>
      <c r="M32" s="13"/>
      <c r="N32" s="13"/>
    </row>
    <row r="33" spans="1:18" x14ac:dyDescent="0.35">
      <c r="A33" s="6">
        <v>1</v>
      </c>
      <c r="B33" s="1" cm="1">
        <f t="array" ref="B33:N45">romberg_exp(-2,2,16)</f>
        <v>18.516967617782925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6">
        <v>0</v>
      </c>
      <c r="N33" s="1">
        <v>0</v>
      </c>
    </row>
    <row r="34" spans="1:18" x14ac:dyDescent="0.35">
      <c r="A34" s="7">
        <v>2</v>
      </c>
      <c r="B34" s="2">
        <v>7.2584838088914623</v>
      </c>
      <c r="C34" s="2">
        <v>3.5056558725943083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7">
        <v>0</v>
      </c>
      <c r="N34" s="2">
        <v>0</v>
      </c>
    </row>
    <row r="35" spans="1:18" x14ac:dyDescent="0.35">
      <c r="A35" s="6">
        <v>3</v>
      </c>
      <c r="B35" s="1">
        <v>3.6292419044457311</v>
      </c>
      <c r="C35" s="1">
        <v>2.4194946029638209</v>
      </c>
      <c r="D35" s="1">
        <v>2.3470838516551216</v>
      </c>
      <c r="E35" s="1">
        <v>0</v>
      </c>
      <c r="F35" s="4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6">
        <v>0</v>
      </c>
      <c r="N35" s="1">
        <v>0</v>
      </c>
    </row>
    <row r="36" spans="1:18" x14ac:dyDescent="0.35">
      <c r="A36" s="7">
        <v>4</v>
      </c>
      <c r="B36" s="2">
        <v>2.6594152331592418</v>
      </c>
      <c r="C36" s="2">
        <v>2.3361396760637452</v>
      </c>
      <c r="D36" s="2">
        <v>2.3305826809370735</v>
      </c>
      <c r="E36" s="2">
        <v>2.3303207575923426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7">
        <v>0</v>
      </c>
      <c r="N36" s="2">
        <v>0</v>
      </c>
    </row>
    <row r="37" spans="1:18" x14ac:dyDescent="0.35">
      <c r="A37" s="6">
        <v>5</v>
      </c>
      <c r="B37" s="1">
        <v>2.4128365640050955</v>
      </c>
      <c r="C37" s="1">
        <v>2.3306436742870469</v>
      </c>
      <c r="D37" s="1">
        <v>2.3302772741686004</v>
      </c>
      <c r="E37" s="1">
        <v>2.3302724264421166</v>
      </c>
      <c r="F37" s="1">
        <v>2.3302722369081943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6">
        <v>0</v>
      </c>
      <c r="N37" s="1">
        <v>0</v>
      </c>
    </row>
    <row r="38" spans="1:18" x14ac:dyDescent="0.35">
      <c r="A38" s="7">
        <v>6</v>
      </c>
      <c r="B38" s="2">
        <v>2.3509307645425936</v>
      </c>
      <c r="C38" s="2">
        <v>2.3302954980550932</v>
      </c>
      <c r="D38" s="2">
        <v>2.3302722863062963</v>
      </c>
      <c r="E38" s="2">
        <v>2.3302722071338788</v>
      </c>
      <c r="F38" s="2">
        <v>2.3302722062738463</v>
      </c>
      <c r="G38" s="2">
        <v>2.330272206243901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7">
        <v>0</v>
      </c>
      <c r="N38" s="2">
        <v>0</v>
      </c>
    </row>
    <row r="39" spans="1:18" x14ac:dyDescent="0.35">
      <c r="A39" s="6">
        <v>7</v>
      </c>
      <c r="B39" s="1">
        <v>2.3354379385011867</v>
      </c>
      <c r="C39" s="1">
        <v>2.3302736631540513</v>
      </c>
      <c r="D39" s="1">
        <v>2.3302722074939819</v>
      </c>
      <c r="E39" s="1">
        <v>2.3302722062429928</v>
      </c>
      <c r="F39" s="1">
        <v>2.3302722062394992</v>
      </c>
      <c r="G39" s="1">
        <v>2.3302722062394654</v>
      </c>
      <c r="H39" s="1">
        <v>2.3302722062394645</v>
      </c>
      <c r="I39" s="1">
        <v>0</v>
      </c>
      <c r="J39" s="1">
        <v>0</v>
      </c>
      <c r="K39" s="1">
        <v>0</v>
      </c>
      <c r="L39" s="1">
        <v>0</v>
      </c>
      <c r="M39" s="6">
        <v>0</v>
      </c>
      <c r="N39" s="1">
        <v>0</v>
      </c>
    </row>
    <row r="40" spans="1:18" x14ac:dyDescent="0.35">
      <c r="A40" s="7">
        <v>8</v>
      </c>
      <c r="B40" s="2">
        <v>2.3315637076115578</v>
      </c>
      <c r="C40" s="2">
        <v>2.3302722973150147</v>
      </c>
      <c r="D40" s="2">
        <v>2.330272206259079</v>
      </c>
      <c r="E40" s="2">
        <v>2.3302722062394774</v>
      </c>
      <c r="F40" s="2">
        <v>2.3302722062394636</v>
      </c>
      <c r="G40" s="2">
        <v>2.3302722062394636</v>
      </c>
      <c r="H40" s="2">
        <v>2.3302722062394636</v>
      </c>
      <c r="I40" s="2">
        <v>2.3302722062394636</v>
      </c>
      <c r="J40" s="2">
        <v>0</v>
      </c>
      <c r="K40" s="2">
        <v>0</v>
      </c>
      <c r="L40" s="2">
        <v>0</v>
      </c>
      <c r="M40" s="7">
        <v>0</v>
      </c>
      <c r="N40" s="2">
        <v>0</v>
      </c>
    </row>
    <row r="41" spans="1:18" x14ac:dyDescent="0.35">
      <c r="A41" s="6">
        <v>9</v>
      </c>
      <c r="B41" s="1">
        <v>2.3305950858518703</v>
      </c>
      <c r="C41" s="1">
        <v>2.3302722119319745</v>
      </c>
      <c r="D41" s="1">
        <v>2.3302722062397718</v>
      </c>
      <c r="E41" s="1">
        <v>2.3302722062394654</v>
      </c>
      <c r="F41" s="1">
        <v>2.3302722062394654</v>
      </c>
      <c r="G41" s="1">
        <v>2.3302722062394654</v>
      </c>
      <c r="H41" s="1">
        <v>2.3302722062394654</v>
      </c>
      <c r="I41" s="1">
        <v>2.3302722062394654</v>
      </c>
      <c r="J41" s="1">
        <v>2.3302722062394654</v>
      </c>
      <c r="K41" s="1">
        <v>0</v>
      </c>
      <c r="L41" s="1">
        <v>0</v>
      </c>
      <c r="M41" s="6">
        <v>0</v>
      </c>
      <c r="N41" s="1">
        <v>0</v>
      </c>
    </row>
    <row r="42" spans="1:18" x14ac:dyDescent="0.35">
      <c r="A42" s="7">
        <v>10</v>
      </c>
      <c r="B42" s="2">
        <v>2.3303529264094056</v>
      </c>
      <c r="C42" s="2">
        <v>2.3302722065952506</v>
      </c>
      <c r="D42" s="2">
        <v>2.330272206239469</v>
      </c>
      <c r="E42" s="2">
        <v>2.3302722062394641</v>
      </c>
      <c r="F42" s="2">
        <v>2.3302722062394641</v>
      </c>
      <c r="G42" s="2">
        <v>2.3302722062394641</v>
      </c>
      <c r="H42" s="2">
        <v>2.3302722062394641</v>
      </c>
      <c r="I42" s="2">
        <v>2.3302722062394641</v>
      </c>
      <c r="J42" s="2">
        <v>2.3302722062394641</v>
      </c>
      <c r="K42" s="2">
        <v>2.3302722062394641</v>
      </c>
      <c r="L42" s="2">
        <v>0</v>
      </c>
      <c r="M42" s="7">
        <v>0</v>
      </c>
      <c r="N42" s="2">
        <v>0</v>
      </c>
    </row>
    <row r="43" spans="1:18" x14ac:dyDescent="0.35">
      <c r="A43" s="8">
        <v>11</v>
      </c>
      <c r="B43" s="1">
        <v>2.330292386298626</v>
      </c>
      <c r="C43" s="1">
        <v>2.3302722062616996</v>
      </c>
      <c r="D43" s="1">
        <v>2.3302722062394627</v>
      </c>
      <c r="E43" s="1">
        <v>2.3302722062394627</v>
      </c>
      <c r="F43" s="1">
        <v>2.3302722062394627</v>
      </c>
      <c r="G43" s="1">
        <v>2.3302722062394627</v>
      </c>
      <c r="H43" s="1">
        <v>2.3302722062394627</v>
      </c>
      <c r="I43" s="1">
        <v>2.3302722062394627</v>
      </c>
      <c r="J43" s="1">
        <v>2.3302722062394627</v>
      </c>
      <c r="K43" s="1">
        <v>2.3302722062394627</v>
      </c>
      <c r="L43" s="1">
        <v>2.3302722062394627</v>
      </c>
      <c r="M43" s="8">
        <v>0</v>
      </c>
      <c r="N43" s="1">
        <v>0</v>
      </c>
    </row>
    <row r="44" spans="1:18" x14ac:dyDescent="0.35">
      <c r="A44" s="6"/>
      <c r="B44" s="1">
        <v>2.3302772512552981</v>
      </c>
      <c r="C44" s="1">
        <v>2.3302722062408554</v>
      </c>
      <c r="D44" s="1">
        <v>2.3302722062394658</v>
      </c>
      <c r="E44" s="1">
        <v>2.3302722062394658</v>
      </c>
      <c r="F44" s="1">
        <v>2.3302722062394658</v>
      </c>
      <c r="G44" s="1">
        <v>2.3302722062394658</v>
      </c>
      <c r="H44" s="1">
        <v>2.3302722062394658</v>
      </c>
      <c r="I44" s="1">
        <v>2.3302722062394658</v>
      </c>
      <c r="J44" s="1">
        <v>2.3302722062394658</v>
      </c>
      <c r="K44" s="1">
        <v>2.3302722062394658</v>
      </c>
      <c r="L44" s="1">
        <v>2.3302722062394658</v>
      </c>
      <c r="M44" s="6">
        <v>2.3302722062394658</v>
      </c>
      <c r="N44" s="1">
        <v>0</v>
      </c>
    </row>
    <row r="45" spans="1:18" x14ac:dyDescent="0.35">
      <c r="A45" s="7"/>
      <c r="B45" s="2">
        <v>2.3302734674934893</v>
      </c>
      <c r="C45" s="2">
        <v>2.3302722062395529</v>
      </c>
      <c r="D45" s="2">
        <v>2.3302722062394658</v>
      </c>
      <c r="E45" s="2">
        <v>2.3302722062394658</v>
      </c>
      <c r="F45" s="2">
        <v>2.3302722062394658</v>
      </c>
      <c r="G45" s="2">
        <v>2.3302722062394658</v>
      </c>
      <c r="H45" s="2">
        <v>2.3302722062394658</v>
      </c>
      <c r="I45" s="2">
        <v>2.3302722062394658</v>
      </c>
      <c r="J45" s="2">
        <v>2.3302722062394658</v>
      </c>
      <c r="K45" s="2">
        <v>2.3302722062394658</v>
      </c>
      <c r="L45" s="2">
        <v>2.3302722062394658</v>
      </c>
      <c r="M45" s="7">
        <v>2.3302722062394658</v>
      </c>
      <c r="N45" s="2">
        <v>2.3302722062394658</v>
      </c>
    </row>
    <row r="46" spans="1:18" ht="53.25" customHeight="1" thickBot="1" x14ac:dyDescent="0.4">
      <c r="A46" s="5" t="s">
        <v>0</v>
      </c>
      <c r="B46" s="14" t="s">
        <v>10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</row>
    <row r="47" spans="1:18" x14ac:dyDescent="0.35">
      <c r="A47" s="6">
        <v>1</v>
      </c>
      <c r="B47" s="1" cm="1">
        <f t="array" ref="B47:R63">romberg_log(0,1,10)</f>
        <v>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6">
        <v>0</v>
      </c>
      <c r="N47" s="1">
        <v>0</v>
      </c>
      <c r="O47" s="1">
        <v>0</v>
      </c>
      <c r="P47" s="6">
        <v>0</v>
      </c>
      <c r="Q47" s="1">
        <v>0</v>
      </c>
      <c r="R47" s="1">
        <v>0</v>
      </c>
    </row>
    <row r="48" spans="1:18" x14ac:dyDescent="0.35">
      <c r="A48" s="7">
        <v>2</v>
      </c>
      <c r="B48" s="2">
        <v>-0.17328679513998632</v>
      </c>
      <c r="C48" s="2">
        <v>-0.23104906018664842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7">
        <v>0</v>
      </c>
      <c r="N48" s="2">
        <v>0</v>
      </c>
      <c r="O48" s="2">
        <v>0</v>
      </c>
      <c r="P48" s="7">
        <v>0</v>
      </c>
      <c r="Q48" s="2">
        <v>0</v>
      </c>
      <c r="R48" s="2">
        <v>0</v>
      </c>
    </row>
    <row r="49" spans="1:18" x14ac:dyDescent="0.35">
      <c r="A49" s="6">
        <v>3</v>
      </c>
      <c r="B49" s="1">
        <v>-0.22722718372469525</v>
      </c>
      <c r="C49" s="1">
        <v>-0.24520731325293155</v>
      </c>
      <c r="D49" s="1">
        <v>-0.24615119679068376</v>
      </c>
      <c r="E49" s="1">
        <v>0</v>
      </c>
      <c r="F49" s="4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6">
        <v>0</v>
      </c>
      <c r="N49" s="1">
        <v>0</v>
      </c>
      <c r="O49" s="1">
        <v>0</v>
      </c>
      <c r="P49" s="6">
        <v>0</v>
      </c>
      <c r="Q49" s="1">
        <v>0</v>
      </c>
      <c r="R49" s="1">
        <v>0</v>
      </c>
    </row>
    <row r="50" spans="1:18" x14ac:dyDescent="0.35">
      <c r="A50" s="7">
        <v>4</v>
      </c>
      <c r="B50" s="2">
        <v>-0.24340526678914998</v>
      </c>
      <c r="C50" s="2">
        <v>-0.24879796114396821</v>
      </c>
      <c r="D50" s="2">
        <v>-0.24903733767003733</v>
      </c>
      <c r="E50" s="2">
        <v>-0.24908314943002707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7">
        <v>0</v>
      </c>
      <c r="N50" s="2">
        <v>0</v>
      </c>
      <c r="O50" s="2">
        <v>0</v>
      </c>
      <c r="P50" s="7">
        <v>0</v>
      </c>
      <c r="Q50" s="2">
        <v>0</v>
      </c>
      <c r="R50" s="2">
        <v>0</v>
      </c>
    </row>
    <row r="51" spans="1:18" x14ac:dyDescent="0.35">
      <c r="A51" s="6">
        <v>5</v>
      </c>
      <c r="B51" s="1">
        <v>-0.24812574625177342</v>
      </c>
      <c r="C51" s="1">
        <v>-0.24969923940598124</v>
      </c>
      <c r="D51" s="1">
        <v>-0.24975932462344877</v>
      </c>
      <c r="E51" s="1">
        <v>-0.24977078473382039</v>
      </c>
      <c r="F51" s="1">
        <v>-0.24977348134285488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6">
        <v>0</v>
      </c>
      <c r="N51" s="1">
        <v>0</v>
      </c>
      <c r="O51" s="1">
        <v>0</v>
      </c>
      <c r="P51" s="6">
        <v>0</v>
      </c>
      <c r="Q51" s="1">
        <v>0</v>
      </c>
      <c r="R51" s="1">
        <v>0</v>
      </c>
    </row>
    <row r="52" spans="1:18" x14ac:dyDescent="0.35">
      <c r="A52" s="7">
        <v>6</v>
      </c>
      <c r="B52" s="2">
        <v>-0.24947503207186056</v>
      </c>
      <c r="C52" s="2">
        <v>-0.24992479401188961</v>
      </c>
      <c r="D52" s="2">
        <v>-0.24993983098561684</v>
      </c>
      <c r="E52" s="2">
        <v>-0.2499426961659687</v>
      </c>
      <c r="F52" s="2">
        <v>-0.24994337032844771</v>
      </c>
      <c r="G52" s="2">
        <v>-0.24994353639783734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7">
        <v>0</v>
      </c>
      <c r="N52" s="2">
        <v>0</v>
      </c>
      <c r="O52" s="2">
        <v>0</v>
      </c>
      <c r="P52" s="7">
        <v>0</v>
      </c>
      <c r="Q52" s="2">
        <v>0</v>
      </c>
      <c r="R52" s="2">
        <v>0</v>
      </c>
    </row>
    <row r="53" spans="1:18" x14ac:dyDescent="0.35">
      <c r="A53" s="6">
        <v>7</v>
      </c>
      <c r="B53" s="1">
        <v>-0.24985465615078464</v>
      </c>
      <c r="C53" s="1">
        <v>-0.249981197510426</v>
      </c>
      <c r="D53" s="1">
        <v>-0.24998495774366175</v>
      </c>
      <c r="E53" s="1">
        <v>-0.24998567404140851</v>
      </c>
      <c r="F53" s="1">
        <v>-0.2499858425820965</v>
      </c>
      <c r="G53" s="1">
        <v>-0.24998588409945099</v>
      </c>
      <c r="H53" s="1">
        <v>-0.24998589444077007</v>
      </c>
      <c r="I53" s="1">
        <v>0</v>
      </c>
      <c r="J53" s="1">
        <v>0</v>
      </c>
      <c r="K53" s="1">
        <v>0</v>
      </c>
      <c r="L53" s="1">
        <v>0</v>
      </c>
      <c r="M53" s="6">
        <v>0</v>
      </c>
      <c r="N53" s="1">
        <v>0</v>
      </c>
      <c r="O53" s="1">
        <v>0</v>
      </c>
      <c r="P53" s="6">
        <v>0</v>
      </c>
      <c r="Q53" s="1">
        <v>0</v>
      </c>
      <c r="R53" s="1">
        <v>0</v>
      </c>
    </row>
    <row r="54" spans="1:18" x14ac:dyDescent="0.35">
      <c r="A54" s="7">
        <v>8</v>
      </c>
      <c r="B54" s="2">
        <v>-0.24996013852434507</v>
      </c>
      <c r="C54" s="2">
        <v>-0.24999529931553188</v>
      </c>
      <c r="D54" s="2">
        <v>-0.24999623943587226</v>
      </c>
      <c r="E54" s="2">
        <v>-0.24999641851035179</v>
      </c>
      <c r="F54" s="2">
        <v>-0.24999646064552411</v>
      </c>
      <c r="G54" s="2">
        <v>-0.24999647102486275</v>
      </c>
      <c r="H54" s="2">
        <v>-0.24999647361019253</v>
      </c>
      <c r="I54" s="2">
        <v>-0.24999647425593322</v>
      </c>
      <c r="J54" s="2">
        <v>0</v>
      </c>
      <c r="K54" s="2">
        <v>0</v>
      </c>
      <c r="L54" s="2">
        <v>0</v>
      </c>
      <c r="M54" s="7">
        <v>0</v>
      </c>
      <c r="N54" s="2">
        <v>0</v>
      </c>
      <c r="O54" s="2">
        <v>0</v>
      </c>
      <c r="P54" s="7">
        <v>0</v>
      </c>
      <c r="Q54" s="2">
        <v>0</v>
      </c>
      <c r="R54" s="2">
        <v>0</v>
      </c>
    </row>
    <row r="55" spans="1:18" x14ac:dyDescent="0.35">
      <c r="A55" s="6">
        <v>9</v>
      </c>
      <c r="B55" s="1">
        <v>-0.24998915324983831</v>
      </c>
      <c r="C55" s="1">
        <v>-0.24999882482500271</v>
      </c>
      <c r="D55" s="1">
        <v>-0.24999905985896745</v>
      </c>
      <c r="E55" s="1">
        <v>-0.24999910462758801</v>
      </c>
      <c r="F55" s="1">
        <v>-0.2499991151613811</v>
      </c>
      <c r="G55" s="1">
        <v>-0.24999911775621575</v>
      </c>
      <c r="H55" s="1">
        <v>-0.24999911840254818</v>
      </c>
      <c r="I55" s="1">
        <v>-0.24999911856398335</v>
      </c>
      <c r="J55" s="1">
        <v>-0.24999911860433291</v>
      </c>
      <c r="K55" s="1">
        <v>0</v>
      </c>
      <c r="L55" s="1">
        <v>0</v>
      </c>
      <c r="M55" s="6">
        <v>0</v>
      </c>
      <c r="N55" s="1">
        <v>0</v>
      </c>
      <c r="O55" s="1">
        <v>0</v>
      </c>
      <c r="P55" s="6">
        <v>0</v>
      </c>
      <c r="Q55" s="1">
        <v>0</v>
      </c>
      <c r="R55" s="1">
        <v>0</v>
      </c>
    </row>
    <row r="56" spans="1:18" x14ac:dyDescent="0.35">
      <c r="A56" s="7">
        <v>10</v>
      </c>
      <c r="B56" s="2">
        <v>-0.24999706796696575</v>
      </c>
      <c r="C56" s="2">
        <v>-0.24999970620600823</v>
      </c>
      <c r="D56" s="2">
        <v>-0.24999976496474194</v>
      </c>
      <c r="E56" s="2">
        <v>-0.24999977615689709</v>
      </c>
      <c r="F56" s="2">
        <v>-0.24999977879034535</v>
      </c>
      <c r="G56" s="2">
        <v>-0.24999977943905402</v>
      </c>
      <c r="H56" s="2">
        <v>-0.24999977960063713</v>
      </c>
      <c r="I56" s="2">
        <v>-0.24999977964099593</v>
      </c>
      <c r="J56" s="2">
        <v>-0.2499997796510833</v>
      </c>
      <c r="K56" s="2">
        <v>-0.24999977965360501</v>
      </c>
      <c r="L56" s="2">
        <v>0</v>
      </c>
      <c r="M56" s="7">
        <v>0</v>
      </c>
      <c r="N56" s="2">
        <v>0</v>
      </c>
      <c r="O56" s="2">
        <v>0</v>
      </c>
      <c r="P56" s="7">
        <v>0</v>
      </c>
      <c r="Q56" s="2">
        <v>0</v>
      </c>
      <c r="R56" s="2">
        <v>0</v>
      </c>
    </row>
    <row r="57" spans="1:18" x14ac:dyDescent="0.35">
      <c r="A57" s="6">
        <v>11</v>
      </c>
      <c r="B57" s="1">
        <v>-0.24999921190535651</v>
      </c>
      <c r="C57" s="1">
        <v>-0.24999992655148676</v>
      </c>
      <c r="D57" s="1">
        <v>-0.24999994124118533</v>
      </c>
      <c r="E57" s="1">
        <v>-0.2499999440392241</v>
      </c>
      <c r="F57" s="4">
        <v>-0.24999994469758616</v>
      </c>
      <c r="G57" s="1">
        <v>-0.24999994485976332</v>
      </c>
      <c r="H57" s="1">
        <v>-0.24999994490015909</v>
      </c>
      <c r="I57" s="1">
        <v>-0.24999994491024879</v>
      </c>
      <c r="J57" s="1">
        <v>-0.24999994491277064</v>
      </c>
      <c r="K57" s="1">
        <v>-0.24999994491340105</v>
      </c>
      <c r="L57" s="1">
        <v>-0.24999994491355865</v>
      </c>
      <c r="M57" s="6">
        <v>0</v>
      </c>
      <c r="N57" s="1">
        <v>0</v>
      </c>
      <c r="O57" s="1">
        <v>0</v>
      </c>
      <c r="P57" s="6">
        <v>0</v>
      </c>
      <c r="Q57" s="1">
        <v>0</v>
      </c>
      <c r="R57" s="1">
        <v>0</v>
      </c>
    </row>
    <row r="58" spans="1:18" x14ac:dyDescent="0.35">
      <c r="A58" s="7">
        <v>12</v>
      </c>
      <c r="B58" s="2">
        <v>-0.24999978920474239</v>
      </c>
      <c r="C58" s="2">
        <v>-0.24999998163787102</v>
      </c>
      <c r="D58" s="2">
        <v>-0.24999998531029663</v>
      </c>
      <c r="E58" s="2">
        <v>-0.24999998600980633</v>
      </c>
      <c r="F58" s="2">
        <v>-0.24999998617439684</v>
      </c>
      <c r="G58" s="2">
        <v>-0.24999998621494113</v>
      </c>
      <c r="H58" s="2">
        <v>-0.24999998622504008</v>
      </c>
      <c r="I58" s="2">
        <v>-0.2499999862275625</v>
      </c>
      <c r="J58" s="2">
        <v>-0.24999998622819297</v>
      </c>
      <c r="K58" s="2">
        <v>-0.24999998622835057</v>
      </c>
      <c r="L58" s="2">
        <v>-0.24999998622838998</v>
      </c>
      <c r="M58" s="7">
        <v>-0.24999998622839983</v>
      </c>
      <c r="N58" s="2">
        <v>0</v>
      </c>
      <c r="O58" s="2">
        <v>0</v>
      </c>
      <c r="P58" s="7">
        <v>0</v>
      </c>
      <c r="Q58" s="2">
        <v>0</v>
      </c>
      <c r="R58" s="2">
        <v>0</v>
      </c>
    </row>
    <row r="59" spans="1:18" x14ac:dyDescent="0.35">
      <c r="A59" s="6">
        <v>13</v>
      </c>
      <c r="B59" s="1">
        <v>-0.24999994385828639</v>
      </c>
      <c r="C59" s="1">
        <v>-0.24999999540946771</v>
      </c>
      <c r="D59" s="1">
        <v>-0.24999999632757416</v>
      </c>
      <c r="E59" s="1">
        <v>-0.24999999650245158</v>
      </c>
      <c r="F59" s="1">
        <v>-0.24999999654359922</v>
      </c>
      <c r="G59" s="1">
        <v>-0.24999999655373531</v>
      </c>
      <c r="H59" s="1">
        <v>-0.24999999655626004</v>
      </c>
      <c r="I59" s="1">
        <v>-0.24999999655689065</v>
      </c>
      <c r="J59" s="1">
        <v>-0.24999999655704827</v>
      </c>
      <c r="K59" s="1">
        <v>-0.24999999655708768</v>
      </c>
      <c r="L59" s="1">
        <v>-0.24999999655709754</v>
      </c>
      <c r="M59" s="6">
        <v>-0.24999999655710001</v>
      </c>
      <c r="N59" s="1">
        <v>-0.24999999655710062</v>
      </c>
      <c r="O59" s="1">
        <v>0</v>
      </c>
      <c r="P59" s="6">
        <v>0</v>
      </c>
      <c r="Q59" s="1">
        <v>0</v>
      </c>
      <c r="R59" s="1">
        <v>0</v>
      </c>
    </row>
    <row r="60" spans="1:18" x14ac:dyDescent="0.35">
      <c r="A60" s="7">
        <v>14</v>
      </c>
      <c r="B60" s="2">
        <v>-0.24999998510384672</v>
      </c>
      <c r="C60" s="2">
        <v>-0.24999999885236682</v>
      </c>
      <c r="D60" s="2">
        <v>-0.24999999908189344</v>
      </c>
      <c r="E60" s="2">
        <v>-0.2499999991256128</v>
      </c>
      <c r="F60" s="2">
        <v>-0.24999999913589971</v>
      </c>
      <c r="G60" s="2">
        <v>-0.24999999913843374</v>
      </c>
      <c r="H60" s="2">
        <v>-0.24999999913906493</v>
      </c>
      <c r="I60" s="2">
        <v>-0.24999999913922258</v>
      </c>
      <c r="J60" s="2">
        <v>-0.24999999913926199</v>
      </c>
      <c r="K60" s="2">
        <v>-0.24999999913927184</v>
      </c>
      <c r="L60" s="2">
        <v>-0.24999999913927431</v>
      </c>
      <c r="M60" s="7">
        <v>-0.24999999913927493</v>
      </c>
      <c r="N60" s="2">
        <v>-0.24999999913927509</v>
      </c>
      <c r="O60" s="2">
        <v>-0.24999999913927512</v>
      </c>
      <c r="P60" s="7">
        <v>0</v>
      </c>
      <c r="Q60" s="2">
        <v>0</v>
      </c>
      <c r="R60" s="2">
        <v>0</v>
      </c>
    </row>
    <row r="61" spans="1:18" x14ac:dyDescent="0.35">
      <c r="A61" s="6">
        <v>15</v>
      </c>
      <c r="B61" s="1">
        <v>-0.24999999606078005</v>
      </c>
      <c r="C61" s="1">
        <v>-0.24999999971309117</v>
      </c>
      <c r="D61" s="1">
        <v>-0.2499999997704728</v>
      </c>
      <c r="E61" s="1">
        <v>-0.24999999978140264</v>
      </c>
      <c r="F61" s="1">
        <v>-0.24999999978397436</v>
      </c>
      <c r="G61" s="1">
        <v>-0.24999999978460785</v>
      </c>
      <c r="H61" s="1">
        <v>-0.24999999978476564</v>
      </c>
      <c r="I61" s="1">
        <v>-0.24999999978480505</v>
      </c>
      <c r="J61" s="1">
        <v>-0.24999999978481491</v>
      </c>
      <c r="K61" s="1">
        <v>-0.24999999978481738</v>
      </c>
      <c r="L61" s="1">
        <v>-0.24999999978481799</v>
      </c>
      <c r="M61" s="6">
        <v>-0.24999999978481816</v>
      </c>
      <c r="N61" s="1">
        <v>-0.24999999978481818</v>
      </c>
      <c r="O61" s="1">
        <v>-0.24999999978481818</v>
      </c>
      <c r="P61" s="6">
        <v>-0.24999999978481818</v>
      </c>
      <c r="Q61" s="1">
        <v>0</v>
      </c>
      <c r="R61" s="1">
        <v>0</v>
      </c>
    </row>
    <row r="62" spans="1:18" x14ac:dyDescent="0.35">
      <c r="A62" s="7">
        <v>16</v>
      </c>
      <c r="B62" s="2">
        <v>-0.24999999896139963</v>
      </c>
      <c r="C62" s="2">
        <v>-0.24999999992827282</v>
      </c>
      <c r="D62" s="2">
        <v>-0.24999999994261826</v>
      </c>
      <c r="E62" s="2">
        <v>-0.24999999994535074</v>
      </c>
      <c r="F62" s="2">
        <v>-0.24999999994599367</v>
      </c>
      <c r="G62" s="2">
        <v>-0.24999999994615205</v>
      </c>
      <c r="H62" s="2">
        <v>-0.24999999994619149</v>
      </c>
      <c r="I62" s="2">
        <v>-0.24999999994620134</v>
      </c>
      <c r="J62" s="2">
        <v>-0.24999999994620381</v>
      </c>
      <c r="K62" s="2">
        <v>-0.24999999994620442</v>
      </c>
      <c r="L62" s="2">
        <v>-0.24999999994620459</v>
      </c>
      <c r="M62" s="7">
        <v>-0.24999999994620462</v>
      </c>
      <c r="N62" s="2">
        <v>-0.24999999994620462</v>
      </c>
      <c r="O62" s="2">
        <v>-0.24999999994620462</v>
      </c>
      <c r="P62" s="7">
        <v>-0.24999999994620462</v>
      </c>
      <c r="Q62" s="2">
        <v>-0.24999999994620462</v>
      </c>
      <c r="R62" s="2">
        <v>0</v>
      </c>
    </row>
    <row r="63" spans="1:18" x14ac:dyDescent="0.35">
      <c r="A63" s="6">
        <v>17</v>
      </c>
      <c r="B63" s="1">
        <v>-0.24999999972690085</v>
      </c>
      <c r="C63" s="1">
        <v>-0.24999999998206793</v>
      </c>
      <c r="D63" s="1">
        <v>-0.24999999998565428</v>
      </c>
      <c r="E63" s="1">
        <v>-0.2499999999863374</v>
      </c>
      <c r="F63" s="1">
        <v>-0.24999999998649813</v>
      </c>
      <c r="G63" s="1">
        <v>-0.24999999998653774</v>
      </c>
      <c r="H63" s="1">
        <v>-0.24999999998654759</v>
      </c>
      <c r="I63" s="1">
        <v>-0.24999999998655006</v>
      </c>
      <c r="J63" s="1">
        <v>-0.24999999998655068</v>
      </c>
      <c r="K63" s="1">
        <v>-0.24999999998655084</v>
      </c>
      <c r="L63" s="1">
        <v>-0.24999999998655087</v>
      </c>
      <c r="M63" s="6">
        <v>-0.24999999998655087</v>
      </c>
      <c r="N63" s="1">
        <v>-0.24999999998655087</v>
      </c>
      <c r="O63" s="1">
        <v>-0.24999999998655087</v>
      </c>
      <c r="P63" s="6">
        <v>-0.24999999998655087</v>
      </c>
      <c r="Q63" s="1">
        <v>-0.24999999998655087</v>
      </c>
      <c r="R63" s="1">
        <v>-0.24999999998655087</v>
      </c>
    </row>
    <row r="66" spans="2:21" x14ac:dyDescent="0.35">
      <c r="B66" s="12"/>
      <c r="C66" s="12" t="s">
        <v>13</v>
      </c>
      <c r="D66" s="12"/>
      <c r="E66" s="12"/>
      <c r="F66" s="12"/>
      <c r="G66" s="12"/>
    </row>
    <row r="67" spans="2:21" x14ac:dyDescent="0.35">
      <c r="B67" s="12"/>
      <c r="C67" s="12"/>
      <c r="D67" s="12"/>
      <c r="E67" s="12"/>
      <c r="F67" s="12"/>
      <c r="G67" s="12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</row>
    <row r="68" spans="2:21" x14ac:dyDescent="0.35">
      <c r="B68" s="12"/>
      <c r="C68" s="12"/>
      <c r="D68" s="12"/>
      <c r="E68" s="12"/>
      <c r="F68" s="12"/>
      <c r="G68" s="12"/>
    </row>
    <row r="69" spans="2:21" x14ac:dyDescent="0.35">
      <c r="B69" s="12"/>
      <c r="C69" s="12"/>
      <c r="D69" s="12"/>
      <c r="E69" s="12"/>
      <c r="F69" s="12"/>
      <c r="G69" s="12"/>
    </row>
    <row r="70" spans="2:21" x14ac:dyDescent="0.35">
      <c r="B70" s="12"/>
      <c r="C70" s="12"/>
      <c r="D70" s="12"/>
      <c r="E70" s="12"/>
      <c r="F70" s="12"/>
      <c r="G70" s="12"/>
    </row>
    <row r="71" spans="2:21" x14ac:dyDescent="0.35">
      <c r="B71" s="12"/>
      <c r="C71" s="12"/>
      <c r="D71" s="12"/>
      <c r="E71" s="12"/>
      <c r="F71" s="12"/>
      <c r="G71" s="12"/>
    </row>
  </sheetData>
  <mergeCells count="4">
    <mergeCell ref="B2:G2"/>
    <mergeCell ref="B17:I17"/>
    <mergeCell ref="B32:H32"/>
    <mergeCell ref="B46:R46"/>
  </mergeCells>
  <conditionalFormatting sqref="O3">
    <cfRule type="containsText" dxfId="5" priority="6" operator="containsText" text="2">
      <formula>NOT(ISERROR(SEARCH("2",O3)))</formula>
    </cfRule>
  </conditionalFormatting>
  <conditionalFormatting sqref="K8">
    <cfRule type="cellIs" dxfId="4" priority="5" operator="equal">
      <formula>2</formula>
    </cfRule>
  </conditionalFormatting>
  <conditionalFormatting sqref="G8">
    <cfRule type="cellIs" dxfId="3" priority="4" operator="equal">
      <formula>2</formula>
    </cfRule>
  </conditionalFormatting>
  <conditionalFormatting sqref="K12">
    <cfRule type="cellIs" dxfId="2" priority="3" operator="equal">
      <formula>3</formula>
    </cfRule>
  </conditionalFormatting>
  <conditionalFormatting sqref="K12:K14">
    <cfRule type="cellIs" dxfId="1" priority="2" operator="equal">
      <formula>3</formula>
    </cfRule>
  </conditionalFormatting>
  <conditionalFormatting sqref="B3:G8">
    <cfRule type="cellIs" dxfId="0" priority="1" operator="equal">
      <formula>2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11086-E412-4FE5-BD86-624957F2242D}">
  <sheetPr codeName="Arkusz2"/>
  <dimension ref="A2:L18"/>
  <sheetViews>
    <sheetView tabSelected="1" zoomScale="55" zoomScaleNormal="55" workbookViewId="0">
      <selection activeCell="J23" sqref="J23"/>
    </sheetView>
  </sheetViews>
  <sheetFormatPr defaultRowHeight="14.5" x14ac:dyDescent="0.35"/>
  <cols>
    <col min="1" max="1" width="11.81640625" bestFit="1" customWidth="1"/>
    <col min="4" max="4" width="13.54296875" customWidth="1"/>
    <col min="5" max="5" width="8.81640625" bestFit="1" customWidth="1"/>
    <col min="8" max="8" width="14" customWidth="1"/>
    <col min="9" max="10" width="12.6328125" bestFit="1" customWidth="1"/>
    <col min="11" max="11" width="13.36328125" customWidth="1"/>
    <col min="12" max="12" width="8.81640625" bestFit="1" customWidth="1"/>
  </cols>
  <sheetData>
    <row r="2" spans="1:12" x14ac:dyDescent="0.35">
      <c r="A2" s="16" t="s">
        <v>11</v>
      </c>
      <c r="B2" s="16"/>
      <c r="C2" s="16"/>
      <c r="D2" s="16"/>
      <c r="E2" s="16"/>
      <c r="H2" s="16" t="s">
        <v>12</v>
      </c>
      <c r="I2" s="16"/>
      <c r="J2" s="16"/>
      <c r="K2" s="16"/>
      <c r="L2" s="16"/>
    </row>
    <row r="3" spans="1:12" x14ac:dyDescent="0.35">
      <c r="A3" t="str" cm="1">
        <f t="array" ref="A3:E18">kroki_epsilon(15)</f>
        <v>rzad epsilona</v>
      </c>
      <c r="B3" t="str">
        <v>sin(x)</v>
      </c>
      <c r="C3" t="str">
        <v>xcos(x)</v>
      </c>
      <c r="D3" t="str">
        <v>(x^2 -1)e^(-x/2)</v>
      </c>
      <c r="E3" t="str">
        <v>xln(x)</v>
      </c>
      <c r="H3" t="str" cm="1">
        <f t="array" ref="H3:L13">blad_epsilon(10)</f>
        <v>rzad epsilona</v>
      </c>
      <c r="I3" t="str">
        <v>sin(x)</v>
      </c>
      <c r="J3" t="str">
        <v>xcos(x)</v>
      </c>
      <c r="K3" t="str">
        <v>(x^2 -1)e^(-x/2)</v>
      </c>
      <c r="L3" t="str">
        <v>xln(x)</v>
      </c>
    </row>
    <row r="4" spans="1:12" x14ac:dyDescent="0.35">
      <c r="A4">
        <v>1</v>
      </c>
      <c r="B4">
        <v>3</v>
      </c>
      <c r="C4">
        <v>5</v>
      </c>
      <c r="D4">
        <v>4</v>
      </c>
      <c r="E4">
        <v>3</v>
      </c>
      <c r="H4">
        <v>1</v>
      </c>
      <c r="I4">
        <v>5.5499796709490568E-6</v>
      </c>
      <c r="J4">
        <v>4.5789415814567747E-8</v>
      </c>
      <c r="K4">
        <v>3.0668732442507007E-8</v>
      </c>
      <c r="L4">
        <v>9.168505699729268E-4</v>
      </c>
    </row>
    <row r="5" spans="1:12" x14ac:dyDescent="0.35">
      <c r="A5">
        <v>2</v>
      </c>
      <c r="B5">
        <v>4</v>
      </c>
      <c r="C5">
        <v>5</v>
      </c>
      <c r="D5">
        <v>5</v>
      </c>
      <c r="E5">
        <v>4</v>
      </c>
      <c r="H5">
        <v>2</v>
      </c>
      <c r="I5">
        <v>5.4127098358947023E-9</v>
      </c>
      <c r="J5">
        <v>4.5789415814567747E-8</v>
      </c>
      <c r="K5">
        <v>4.4391157416612259E-12</v>
      </c>
      <c r="L5">
        <v>2.2651865714512498E-4</v>
      </c>
    </row>
    <row r="6" spans="1:12" x14ac:dyDescent="0.35">
      <c r="A6">
        <v>3</v>
      </c>
      <c r="B6">
        <v>5</v>
      </c>
      <c r="C6">
        <v>6</v>
      </c>
      <c r="D6">
        <v>5</v>
      </c>
      <c r="E6">
        <v>5</v>
      </c>
      <c r="H6">
        <v>3</v>
      </c>
      <c r="I6">
        <v>1.3211653993039363E-12</v>
      </c>
      <c r="J6">
        <v>1.2141398997300712E-11</v>
      </c>
      <c r="K6">
        <v>4.4391157416612259E-12</v>
      </c>
      <c r="L6">
        <v>5.6463602162659665E-5</v>
      </c>
    </row>
    <row r="7" spans="1:12" x14ac:dyDescent="0.35">
      <c r="A7">
        <v>4</v>
      </c>
      <c r="B7">
        <v>5</v>
      </c>
      <c r="C7">
        <v>6</v>
      </c>
      <c r="D7">
        <v>5</v>
      </c>
      <c r="E7">
        <v>7</v>
      </c>
      <c r="H7">
        <v>4</v>
      </c>
      <c r="I7">
        <v>1.3211653993039363E-12</v>
      </c>
      <c r="J7">
        <v>1.2141398997300712E-11</v>
      </c>
      <c r="K7">
        <v>4.4391157416612259E-12</v>
      </c>
      <c r="L7">
        <v>3.5257440667846307E-6</v>
      </c>
    </row>
    <row r="8" spans="1:12" x14ac:dyDescent="0.35">
      <c r="A8">
        <v>5</v>
      </c>
      <c r="B8">
        <v>5</v>
      </c>
      <c r="C8">
        <v>7</v>
      </c>
      <c r="D8">
        <v>6</v>
      </c>
      <c r="E8">
        <v>9</v>
      </c>
      <c r="H8">
        <v>5</v>
      </c>
      <c r="I8">
        <v>1.3211653993039363E-12</v>
      </c>
      <c r="J8">
        <v>0</v>
      </c>
      <c r="K8">
        <v>2.6645352591003757E-15</v>
      </c>
      <c r="L8">
        <v>2.2034639499124431E-7</v>
      </c>
    </row>
    <row r="9" spans="1:12" x14ac:dyDescent="0.35">
      <c r="A9">
        <v>6</v>
      </c>
      <c r="B9">
        <v>6</v>
      </c>
      <c r="C9">
        <v>7</v>
      </c>
      <c r="D9">
        <v>6</v>
      </c>
      <c r="E9">
        <v>10</v>
      </c>
      <c r="H9">
        <v>6</v>
      </c>
      <c r="I9">
        <v>8.8817841970012523E-16</v>
      </c>
      <c r="J9">
        <v>0</v>
      </c>
      <c r="K9">
        <v>2.6645352591003757E-15</v>
      </c>
      <c r="L9">
        <v>5.5086441352880655E-8</v>
      </c>
    </row>
    <row r="10" spans="1:12" x14ac:dyDescent="0.35">
      <c r="A10">
        <v>7</v>
      </c>
      <c r="B10">
        <v>6</v>
      </c>
      <c r="C10">
        <v>7</v>
      </c>
      <c r="D10">
        <v>6</v>
      </c>
      <c r="E10">
        <v>12</v>
      </c>
      <c r="H10">
        <v>7</v>
      </c>
      <c r="I10">
        <v>8.8817841970012523E-16</v>
      </c>
      <c r="J10">
        <v>0</v>
      </c>
      <c r="K10">
        <v>2.6645352591003757E-15</v>
      </c>
      <c r="L10">
        <v>3.4428993822555043E-9</v>
      </c>
    </row>
    <row r="11" spans="1:12" x14ac:dyDescent="0.35">
      <c r="A11">
        <v>8</v>
      </c>
      <c r="B11">
        <v>6</v>
      </c>
      <c r="C11">
        <v>8</v>
      </c>
      <c r="D11">
        <v>7</v>
      </c>
      <c r="E11">
        <v>14</v>
      </c>
      <c r="H11">
        <v>8</v>
      </c>
      <c r="I11">
        <v>8.8817841970012523E-16</v>
      </c>
      <c r="J11">
        <v>8.8817841970012523E-16</v>
      </c>
      <c r="K11">
        <v>1.7763568394002505E-15</v>
      </c>
      <c r="L11">
        <v>2.1518181680946213E-10</v>
      </c>
    </row>
    <row r="12" spans="1:12" x14ac:dyDescent="0.35">
      <c r="A12">
        <v>9</v>
      </c>
      <c r="B12">
        <v>7</v>
      </c>
      <c r="C12">
        <v>8</v>
      </c>
      <c r="D12">
        <v>7</v>
      </c>
      <c r="E12">
        <v>15</v>
      </c>
      <c r="H12">
        <v>9</v>
      </c>
      <c r="I12">
        <v>0</v>
      </c>
      <c r="J12">
        <v>8.8817841970012523E-16</v>
      </c>
      <c r="K12">
        <v>1.7763568394002505E-15</v>
      </c>
      <c r="L12">
        <v>5.3795384813426494E-11</v>
      </c>
    </row>
    <row r="13" spans="1:12" x14ac:dyDescent="0.35">
      <c r="A13">
        <v>10</v>
      </c>
      <c r="B13">
        <v>7</v>
      </c>
      <c r="C13">
        <v>8</v>
      </c>
      <c r="D13">
        <v>7</v>
      </c>
      <c r="E13">
        <v>17</v>
      </c>
      <c r="H13">
        <v>10</v>
      </c>
      <c r="I13">
        <v>0</v>
      </c>
      <c r="J13">
        <v>8.8817841970012523E-16</v>
      </c>
      <c r="K13">
        <v>1.7763568394002505E-15</v>
      </c>
      <c r="L13">
        <v>3.3648361874583088E-12</v>
      </c>
    </row>
    <row r="14" spans="1:12" x14ac:dyDescent="0.35">
      <c r="A14">
        <v>11</v>
      </c>
      <c r="B14">
        <v>7</v>
      </c>
      <c r="C14">
        <v>9</v>
      </c>
      <c r="D14">
        <v>7</v>
      </c>
      <c r="E14">
        <v>19</v>
      </c>
    </row>
    <row r="15" spans="1:12" x14ac:dyDescent="0.35">
      <c r="A15">
        <v>12</v>
      </c>
      <c r="B15">
        <v>8</v>
      </c>
      <c r="C15">
        <v>9</v>
      </c>
      <c r="D15">
        <v>8</v>
      </c>
      <c r="E15">
        <v>20</v>
      </c>
    </row>
    <row r="16" spans="1:12" x14ac:dyDescent="0.35">
      <c r="A16">
        <v>13</v>
      </c>
      <c r="B16">
        <v>8</v>
      </c>
      <c r="C16">
        <v>9</v>
      </c>
      <c r="D16">
        <v>8</v>
      </c>
      <c r="E16">
        <v>22</v>
      </c>
    </row>
    <row r="17" spans="1:5" x14ac:dyDescent="0.35">
      <c r="A17">
        <v>14</v>
      </c>
      <c r="B17">
        <v>8</v>
      </c>
      <c r="C17">
        <v>9</v>
      </c>
      <c r="D17">
        <v>8</v>
      </c>
      <c r="E17">
        <v>23</v>
      </c>
    </row>
    <row r="18" spans="1:5" x14ac:dyDescent="0.35">
      <c r="A18">
        <v>15</v>
      </c>
      <c r="B18">
        <v>8</v>
      </c>
      <c r="C18">
        <v>9</v>
      </c>
      <c r="D18">
        <v>8</v>
      </c>
      <c r="E18">
        <v>25</v>
      </c>
    </row>
  </sheetData>
  <mergeCells count="2">
    <mergeCell ref="A2:E2"/>
    <mergeCell ref="H2:L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7865B27B34A14941933CA28510E02670" ma:contentTypeVersion="7" ma:contentTypeDescription="Utwórz nowy dokument." ma:contentTypeScope="" ma:versionID="1a4efdccd3c971d9662f2710c0a01f0c">
  <xsd:schema xmlns:xsd="http://www.w3.org/2001/XMLSchema" xmlns:xs="http://www.w3.org/2001/XMLSchema" xmlns:p="http://schemas.microsoft.com/office/2006/metadata/properties" xmlns:ns2="a2b08649-6cc7-4df6-8ccb-e514d8d0c671" targetNamespace="http://schemas.microsoft.com/office/2006/metadata/properties" ma:root="true" ma:fieldsID="a7a389cae39e3343d8af9a7063b8b039" ns2:_="">
    <xsd:import namespace="a2b08649-6cc7-4df6-8ccb-e514d8d0c671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b08649-6cc7-4df6-8ccb-e514d8d0c671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a2b08649-6cc7-4df6-8ccb-e514d8d0c671" xsi:nil="true"/>
  </documentManagement>
</p:properties>
</file>

<file path=customXml/itemProps1.xml><?xml version="1.0" encoding="utf-8"?>
<ds:datastoreItem xmlns:ds="http://schemas.openxmlformats.org/officeDocument/2006/customXml" ds:itemID="{42947EAD-4B09-4366-834B-76A7E3D78A7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CF9C14-67C5-4CCD-B05C-EAC2D0F2F800}"/>
</file>

<file path=customXml/itemProps3.xml><?xml version="1.0" encoding="utf-8"?>
<ds:datastoreItem xmlns:ds="http://schemas.openxmlformats.org/officeDocument/2006/customXml" ds:itemID="{9E125C83-7514-48C2-AF57-9DE6670EBC50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Tablice Romberga</vt:lpstr>
      <vt:lpstr>Tabele i wykresy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Jakub Mieczkowski</dc:creator>
  <cp:keywords/>
  <dc:description/>
  <cp:lastModifiedBy>Jakub Mieczkowski</cp:lastModifiedBy>
  <cp:revision/>
  <dcterms:created xsi:type="dcterms:W3CDTF">2021-10-31T09:15:51Z</dcterms:created>
  <dcterms:modified xsi:type="dcterms:W3CDTF">2021-11-16T00:13:01Z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0x0101007865B27B34A14941933CA28510E02670</vt:lpwstr>
  </property>
</Properties>
</file>